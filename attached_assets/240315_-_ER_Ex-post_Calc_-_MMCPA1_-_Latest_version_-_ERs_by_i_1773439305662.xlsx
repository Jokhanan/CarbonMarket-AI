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oeab\Desktop\"/>
    </mc:Choice>
  </mc:AlternateContent>
  <xr:revisionPtr revIDLastSave="0" documentId="8_{6620B4F4-B211-4322-A151-FD183A32D7E4}" xr6:coauthVersionLast="47" xr6:coauthVersionMax="47" xr10:uidLastSave="{00000000-0000-0000-0000-000000000000}"/>
  <bookViews>
    <workbookView xWindow="28680" yWindow="-120" windowWidth="29040" windowHeight="15720" tabRatio="750" xr2:uid="{00000000-000D-0000-FFFF-FFFF00000000}"/>
  </bookViews>
  <sheets>
    <sheet name="VCU calculation" sheetId="2" r:id="rId1"/>
    <sheet name="Tableau suivi ECOEYE" sheetId="14" state="hidden" r:id="rId2"/>
    <sheet name="sample size CPA1" sheetId="7" r:id="rId3"/>
    <sheet name="Ex-Ante Comparaison" sheetId="21" state="hidden" r:id="rId4"/>
    <sheet name="MP5 Monitoring surveys" sheetId="24" r:id="rId5"/>
    <sheet name="MP5 stoves efficiency " sheetId="22" r:id="rId6"/>
    <sheet name="Database - main figures" sheetId="16" r:id="rId7"/>
  </sheets>
  <externalReferences>
    <externalReference r:id="rId8"/>
  </externalReferences>
  <definedNames>
    <definedName name="_xlnm._FilterDatabase" localSheetId="4" hidden="1">'MP5 Monitoring surveys'!$A$1:$T$1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2" l="1"/>
  <c r="C51" i="2"/>
  <c r="D58" i="2"/>
  <c r="E58" i="2"/>
  <c r="D51" i="2"/>
  <c r="E51" i="2"/>
  <c r="E17" i="2"/>
  <c r="G23" i="22"/>
  <c r="G22" i="22"/>
  <c r="R44" i="2" l="1"/>
  <c r="C67" i="2"/>
  <c r="R6" i="7" l="1"/>
  <c r="R7" i="7"/>
  <c r="R8" i="7"/>
  <c r="E28" i="2"/>
  <c r="E26" i="2"/>
  <c r="E31" i="7"/>
  <c r="E28" i="7"/>
  <c r="E26" i="7"/>
  <c r="E21" i="7"/>
  <c r="E18" i="7"/>
  <c r="E16" i="7"/>
  <c r="E8" i="7"/>
  <c r="E6" i="7"/>
  <c r="E11" i="7" s="1"/>
  <c r="B14" i="16" l="1"/>
  <c r="M229" i="24"/>
  <c r="M255" i="24"/>
  <c r="H254" i="24"/>
  <c r="H228" i="24"/>
  <c r="H241" i="24"/>
  <c r="D217" i="24"/>
  <c r="I243" i="24" s="1"/>
  <c r="D218" i="24"/>
  <c r="I255" i="24" s="1"/>
  <c r="D216" i="24"/>
  <c r="I230" i="24" s="1"/>
  <c r="I216" i="24"/>
  <c r="M216" i="24" s="1"/>
  <c r="M215" i="24"/>
  <c r="P213" i="24"/>
  <c r="I215" i="24"/>
  <c r="S213" i="24"/>
  <c r="R213" i="24"/>
  <c r="O213" i="24"/>
  <c r="N213" i="24"/>
  <c r="J213" i="24"/>
  <c r="K213" i="24"/>
  <c r="E213" i="24"/>
  <c r="C213" i="24"/>
  <c r="K58" i="2"/>
  <c r="K51" i="2"/>
  <c r="I229" i="24" l="1"/>
  <c r="I242" i="24"/>
  <c r="I256" i="24"/>
  <c r="D219" i="24"/>
  <c r="O12" i="24" l="1"/>
  <c r="M243" i="24" l="1"/>
  <c r="M256" i="24"/>
  <c r="P2" i="24" l="1"/>
  <c r="P3" i="24"/>
  <c r="P4" i="24"/>
  <c r="P5" i="24"/>
  <c r="P9" i="24"/>
  <c r="P11" i="24"/>
  <c r="P12" i="24"/>
  <c r="P13" i="24"/>
  <c r="P17" i="24"/>
  <c r="P18" i="24"/>
  <c r="P19" i="24"/>
  <c r="P20" i="24"/>
  <c r="P21" i="24"/>
  <c r="P22" i="24"/>
  <c r="P23" i="24"/>
  <c r="P25" i="24"/>
  <c r="P27" i="24"/>
  <c r="P28" i="24"/>
  <c r="P29" i="24"/>
  <c r="P30" i="24"/>
  <c r="P31" i="24"/>
  <c r="P34" i="24"/>
  <c r="P35" i="24"/>
  <c r="P37" i="24"/>
  <c r="P38" i="24"/>
  <c r="P40" i="24"/>
  <c r="P41" i="24"/>
  <c r="P42" i="24"/>
  <c r="P44" i="24"/>
  <c r="P45" i="24"/>
  <c r="P46" i="24"/>
  <c r="P47" i="24"/>
  <c r="P49" i="24"/>
  <c r="P51" i="24"/>
  <c r="P52" i="24"/>
  <c r="P53" i="24"/>
  <c r="P54" i="24"/>
  <c r="P55" i="24"/>
  <c r="P57" i="24"/>
  <c r="P58" i="24"/>
  <c r="P60" i="24"/>
  <c r="P61" i="24"/>
  <c r="P62" i="24"/>
  <c r="P63" i="24"/>
  <c r="P64" i="24"/>
  <c r="P65" i="24"/>
  <c r="P67" i="24"/>
  <c r="P68" i="24"/>
  <c r="P69" i="24"/>
  <c r="P70" i="24"/>
  <c r="P71" i="24"/>
  <c r="P73" i="24"/>
  <c r="P74" i="24"/>
  <c r="P75" i="24"/>
  <c r="P76" i="24"/>
  <c r="P79" i="24"/>
  <c r="P82" i="24"/>
  <c r="P83" i="24"/>
  <c r="P84" i="24"/>
  <c r="P85" i="24"/>
  <c r="P86" i="24"/>
  <c r="P87" i="24"/>
  <c r="P88" i="24"/>
  <c r="P89" i="24"/>
  <c r="P91" i="24"/>
  <c r="P92" i="24"/>
  <c r="P93" i="24"/>
  <c r="P95" i="24"/>
  <c r="P96" i="24"/>
  <c r="P97" i="24"/>
  <c r="P98" i="24"/>
  <c r="P101" i="24"/>
  <c r="P102" i="24"/>
  <c r="P105" i="24"/>
  <c r="P107" i="24"/>
  <c r="P108" i="24"/>
  <c r="P110" i="24"/>
  <c r="P111" i="24"/>
  <c r="P112" i="24"/>
  <c r="P114" i="24"/>
  <c r="P115" i="24"/>
  <c r="P116" i="24"/>
  <c r="P117" i="24"/>
  <c r="P118" i="24"/>
  <c r="P119" i="24"/>
  <c r="P120" i="24"/>
  <c r="P121" i="24"/>
  <c r="P122" i="24"/>
  <c r="P124" i="24"/>
  <c r="P125" i="24"/>
  <c r="P126" i="24"/>
  <c r="P127" i="24"/>
  <c r="P129" i="24"/>
  <c r="P131" i="24"/>
  <c r="P132" i="24"/>
  <c r="P135" i="24"/>
  <c r="P136" i="24"/>
  <c r="P137" i="24"/>
  <c r="P139" i="24"/>
  <c r="P142" i="24"/>
  <c r="P143" i="24"/>
  <c r="P144" i="24"/>
  <c r="P146" i="24"/>
  <c r="P147" i="24"/>
  <c r="P148" i="24"/>
  <c r="P149" i="24"/>
  <c r="P153" i="24"/>
  <c r="P154" i="24"/>
  <c r="P155" i="24"/>
  <c r="P156" i="24"/>
  <c r="P157" i="24"/>
  <c r="P158" i="24"/>
  <c r="P164" i="24"/>
  <c r="P167" i="24"/>
  <c r="P168" i="24"/>
  <c r="P169" i="24"/>
  <c r="P171" i="24"/>
  <c r="P173" i="24"/>
  <c r="P174" i="24"/>
  <c r="P175" i="24"/>
  <c r="P177" i="24"/>
  <c r="P180" i="24"/>
  <c r="P181" i="24"/>
  <c r="P182" i="24"/>
  <c r="P184" i="24"/>
  <c r="P186" i="24"/>
  <c r="P189" i="24"/>
  <c r="P190" i="24"/>
  <c r="P191" i="24"/>
  <c r="P193" i="24"/>
  <c r="P196" i="24"/>
  <c r="P197" i="24"/>
  <c r="P198" i="24"/>
  <c r="P199" i="24"/>
  <c r="P200" i="24"/>
  <c r="P201" i="24"/>
  <c r="P202" i="24"/>
  <c r="P203" i="24"/>
  <c r="P205" i="24"/>
  <c r="P206" i="24"/>
  <c r="P208" i="24"/>
  <c r="P209" i="24"/>
  <c r="P210" i="24"/>
  <c r="P211" i="24"/>
  <c r="O207" i="24"/>
  <c r="P207" i="24" s="1"/>
  <c r="O195" i="24"/>
  <c r="P195" i="24" s="1"/>
  <c r="O194" i="24"/>
  <c r="P194" i="24" s="1"/>
  <c r="O192" i="24"/>
  <c r="P192" i="24" s="1"/>
  <c r="O185" i="24"/>
  <c r="P185" i="24" s="1"/>
  <c r="O176" i="24"/>
  <c r="P176" i="24" s="1"/>
  <c r="O166" i="24"/>
  <c r="P166" i="24" s="1"/>
  <c r="O161" i="24"/>
  <c r="P161" i="24" s="1"/>
  <c r="O159" i="24"/>
  <c r="P159" i="24" s="1"/>
  <c r="O150" i="24"/>
  <c r="P150" i="24" s="1"/>
  <c r="O141" i="24"/>
  <c r="P141" i="24" s="1"/>
  <c r="O140" i="24"/>
  <c r="P140" i="24" s="1"/>
  <c r="O130" i="24"/>
  <c r="P130" i="24" s="1"/>
  <c r="O128" i="24"/>
  <c r="P128" i="24" s="1"/>
  <c r="O123" i="24"/>
  <c r="P123" i="24" s="1"/>
  <c r="O109" i="24"/>
  <c r="P109" i="24" s="1"/>
  <c r="O94" i="24"/>
  <c r="P94" i="24" s="1"/>
  <c r="O78" i="24"/>
  <c r="P78" i="24" s="1"/>
  <c r="O77" i="24"/>
  <c r="P77" i="24" s="1"/>
  <c r="O72" i="24"/>
  <c r="P72" i="24" s="1"/>
  <c r="O59" i="24"/>
  <c r="P59" i="24" s="1"/>
  <c r="O26" i="24"/>
  <c r="P26" i="24" s="1"/>
  <c r="O16" i="24"/>
  <c r="P16" i="24" s="1"/>
  <c r="O15" i="24"/>
  <c r="P15" i="24" s="1"/>
  <c r="O8" i="24"/>
  <c r="P8" i="24" s="1"/>
  <c r="O7" i="24"/>
  <c r="P7" i="24" s="1"/>
  <c r="U2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U56" i="24"/>
  <c r="U57" i="24"/>
  <c r="U58" i="24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82" i="24"/>
  <c r="U83" i="24"/>
  <c r="U84" i="24"/>
  <c r="U85" i="24"/>
  <c r="U86" i="24"/>
  <c r="U87" i="24"/>
  <c r="U88" i="24"/>
  <c r="U89" i="24"/>
  <c r="U90" i="24"/>
  <c r="U91" i="24"/>
  <c r="U92" i="24"/>
  <c r="U93" i="24"/>
  <c r="U94" i="24"/>
  <c r="U95" i="24"/>
  <c r="U96" i="24"/>
  <c r="U97" i="24"/>
  <c r="U98" i="24"/>
  <c r="U99" i="24"/>
  <c r="U100" i="24"/>
  <c r="U101" i="24"/>
  <c r="U102" i="24"/>
  <c r="U103" i="24"/>
  <c r="U104" i="24"/>
  <c r="U105" i="24"/>
  <c r="U106" i="24"/>
  <c r="U107" i="24"/>
  <c r="U108" i="24"/>
  <c r="U109" i="24"/>
  <c r="U110" i="24"/>
  <c r="U111" i="24"/>
  <c r="U112" i="24"/>
  <c r="U113" i="24"/>
  <c r="U114" i="24"/>
  <c r="U115" i="24"/>
  <c r="U116" i="24"/>
  <c r="U117" i="24"/>
  <c r="U118" i="24"/>
  <c r="U119" i="24"/>
  <c r="U120" i="24"/>
  <c r="U121" i="24"/>
  <c r="U122" i="24"/>
  <c r="U123" i="24"/>
  <c r="U124" i="24"/>
  <c r="U125" i="24"/>
  <c r="U126" i="24"/>
  <c r="U127" i="24"/>
  <c r="U128" i="24"/>
  <c r="U129" i="24"/>
  <c r="U130" i="24"/>
  <c r="U131" i="24"/>
  <c r="U132" i="24"/>
  <c r="U133" i="24"/>
  <c r="U134" i="24"/>
  <c r="U135" i="24"/>
  <c r="U136" i="24"/>
  <c r="U137" i="24"/>
  <c r="U138" i="24"/>
  <c r="U139" i="24"/>
  <c r="U140" i="24"/>
  <c r="U141" i="24"/>
  <c r="U142" i="24"/>
  <c r="U143" i="24"/>
  <c r="U144" i="24"/>
  <c r="U145" i="24"/>
  <c r="U146" i="24"/>
  <c r="U147" i="24"/>
  <c r="U148" i="24"/>
  <c r="U149" i="24"/>
  <c r="U150" i="24"/>
  <c r="U151" i="24"/>
  <c r="U152" i="24"/>
  <c r="U153" i="24"/>
  <c r="U154" i="24"/>
  <c r="U155" i="24"/>
  <c r="U156" i="24"/>
  <c r="U157" i="24"/>
  <c r="U158" i="24"/>
  <c r="U159" i="24"/>
  <c r="U160" i="24"/>
  <c r="U161" i="24"/>
  <c r="U162" i="24"/>
  <c r="U163" i="24"/>
  <c r="U164" i="24"/>
  <c r="U165" i="24"/>
  <c r="U166" i="24"/>
  <c r="U167" i="24"/>
  <c r="U168" i="24"/>
  <c r="U169" i="24"/>
  <c r="U170" i="24"/>
  <c r="U171" i="24"/>
  <c r="U172" i="24"/>
  <c r="U173" i="24"/>
  <c r="U174" i="24"/>
  <c r="U175" i="24"/>
  <c r="U176" i="24"/>
  <c r="U177" i="24"/>
  <c r="U178" i="24"/>
  <c r="U179" i="24"/>
  <c r="U180" i="24"/>
  <c r="U181" i="24"/>
  <c r="U182" i="24"/>
  <c r="U183" i="24"/>
  <c r="U184" i="24"/>
  <c r="U185" i="24"/>
  <c r="U186" i="24"/>
  <c r="U187" i="24"/>
  <c r="U188" i="24"/>
  <c r="U189" i="24"/>
  <c r="U190" i="24"/>
  <c r="U191" i="24"/>
  <c r="U192" i="24"/>
  <c r="U193" i="24"/>
  <c r="U194" i="24"/>
  <c r="U195" i="24"/>
  <c r="U196" i="24"/>
  <c r="U197" i="24"/>
  <c r="U198" i="24"/>
  <c r="U199" i="24"/>
  <c r="U200" i="24"/>
  <c r="U201" i="24"/>
  <c r="U202" i="24"/>
  <c r="U203" i="24"/>
  <c r="U204" i="24"/>
  <c r="U205" i="24"/>
  <c r="U206" i="24"/>
  <c r="U207" i="24"/>
  <c r="U208" i="24"/>
  <c r="U209" i="24"/>
  <c r="U210" i="24"/>
  <c r="U211" i="24"/>
  <c r="O204" i="24"/>
  <c r="P204" i="24" s="1"/>
  <c r="O188" i="24"/>
  <c r="P188" i="24" s="1"/>
  <c r="O187" i="24"/>
  <c r="P187" i="24" s="1"/>
  <c r="O183" i="24"/>
  <c r="P183" i="24" s="1"/>
  <c r="O179" i="24"/>
  <c r="P179" i="24" s="1"/>
  <c r="O178" i="24"/>
  <c r="P178" i="24" s="1"/>
  <c r="O172" i="24"/>
  <c r="P172" i="24" s="1"/>
  <c r="O170" i="24"/>
  <c r="P170" i="24" s="1"/>
  <c r="O165" i="24"/>
  <c r="P165" i="24" s="1"/>
  <c r="O163" i="24"/>
  <c r="P163" i="24" s="1"/>
  <c r="O162" i="24"/>
  <c r="P162" i="24" s="1"/>
  <c r="O160" i="24"/>
  <c r="P160" i="24" s="1"/>
  <c r="O152" i="24"/>
  <c r="P152" i="24" s="1"/>
  <c r="O151" i="24"/>
  <c r="P151" i="24" s="1"/>
  <c r="O145" i="24"/>
  <c r="P145" i="24" s="1"/>
  <c r="O138" i="24"/>
  <c r="P138" i="24" s="1"/>
  <c r="O134" i="24"/>
  <c r="P134" i="24" s="1"/>
  <c r="O133" i="24"/>
  <c r="P133" i="24" s="1"/>
  <c r="O113" i="24"/>
  <c r="P113" i="24" s="1"/>
  <c r="O106" i="24"/>
  <c r="P106" i="24" s="1"/>
  <c r="O104" i="24"/>
  <c r="P104" i="24" s="1"/>
  <c r="O103" i="24"/>
  <c r="P103" i="24" s="1"/>
  <c r="O100" i="24"/>
  <c r="P100" i="24" s="1"/>
  <c r="O99" i="24"/>
  <c r="P99" i="24" s="1"/>
  <c r="O90" i="24"/>
  <c r="P90" i="24" s="1"/>
  <c r="O81" i="24"/>
  <c r="P81" i="24" s="1"/>
  <c r="O80" i="24"/>
  <c r="P80" i="24" s="1"/>
  <c r="O66" i="24"/>
  <c r="P66" i="24" s="1"/>
  <c r="O56" i="24"/>
  <c r="P56" i="24" s="1"/>
  <c r="O50" i="24"/>
  <c r="P50" i="24" s="1"/>
  <c r="O48" i="24"/>
  <c r="P48" i="24" s="1"/>
  <c r="O43" i="24"/>
  <c r="P43" i="24" s="1"/>
  <c r="O39" i="24"/>
  <c r="P39" i="24" s="1"/>
  <c r="O36" i="24"/>
  <c r="P36" i="24" s="1"/>
  <c r="O33" i="24"/>
  <c r="P33" i="24" s="1"/>
  <c r="O32" i="24"/>
  <c r="P32" i="24" s="1"/>
  <c r="O24" i="24"/>
  <c r="P24" i="24" s="1"/>
  <c r="O14" i="24"/>
  <c r="P14" i="24" s="1"/>
  <c r="O10" i="24"/>
  <c r="P10" i="24" s="1"/>
  <c r="O6" i="24"/>
  <c r="P6" i="24" s="1"/>
  <c r="P51" i="2" l="1"/>
  <c r="O51" i="2" s="1"/>
  <c r="L58" i="2"/>
  <c r="P58" i="2"/>
  <c r="L51" i="2"/>
  <c r="M242" i="24"/>
  <c r="R51" i="2" s="1"/>
  <c r="R58" i="2"/>
  <c r="R9" i="7"/>
  <c r="L44" i="2" l="1"/>
  <c r="P44" i="2"/>
  <c r="O44" i="2" s="1"/>
  <c r="M230" i="24"/>
  <c r="E11" i="2" l="1"/>
  <c r="H58" i="2"/>
  <c r="H51" i="2"/>
  <c r="H44" i="2"/>
  <c r="G58" i="2"/>
  <c r="G51" i="2"/>
  <c r="G44" i="2"/>
  <c r="F58" i="2"/>
  <c r="F51" i="2"/>
  <c r="F44" i="2"/>
  <c r="J58" i="2" l="1"/>
  <c r="J51" i="2"/>
  <c r="J44" i="2"/>
  <c r="H5" i="22" l="1"/>
  <c r="H4" i="22"/>
  <c r="H3" i="22"/>
  <c r="E5" i="22"/>
  <c r="E4" i="22"/>
  <c r="E3" i="22"/>
  <c r="B5" i="22"/>
  <c r="B4" i="22"/>
  <c r="J33" i="22"/>
  <c r="I33" i="22"/>
  <c r="H33" i="22"/>
  <c r="G33" i="22"/>
  <c r="F33" i="22"/>
  <c r="E33" i="22"/>
  <c r="D33" i="22"/>
  <c r="C33" i="22"/>
  <c r="B33" i="22"/>
  <c r="J32" i="22"/>
  <c r="I5" i="22" s="1"/>
  <c r="I32" i="22"/>
  <c r="I4" i="22" s="1"/>
  <c r="H32" i="22"/>
  <c r="I3" i="22" s="1"/>
  <c r="G32" i="22"/>
  <c r="F5" i="22" s="1"/>
  <c r="F32" i="22"/>
  <c r="F4" i="22" s="1"/>
  <c r="E32" i="22"/>
  <c r="F3" i="22" s="1"/>
  <c r="D32" i="22"/>
  <c r="C5" i="22" s="1"/>
  <c r="C32" i="22"/>
  <c r="C4" i="22" s="1"/>
  <c r="B32" i="22"/>
  <c r="C3" i="22" s="1"/>
  <c r="C7" i="22" l="1"/>
  <c r="B11" i="16" l="1"/>
  <c r="B10" i="16"/>
  <c r="B9" i="16"/>
  <c r="C216" i="24" l="1"/>
  <c r="I231" i="24" s="1"/>
  <c r="C218" i="24"/>
  <c r="I257" i="24" s="1"/>
  <c r="C217" i="24"/>
  <c r="I244" i="24" s="1"/>
  <c r="E22" i="22"/>
  <c r="F10" i="22" s="1"/>
  <c r="E23" i="22"/>
  <c r="I10" i="22" s="1"/>
  <c r="E21" i="22"/>
  <c r="B8" i="16"/>
  <c r="M244" i="24" l="1"/>
  <c r="M247" i="24" s="1"/>
  <c r="I247" i="24"/>
  <c r="C219" i="24"/>
  <c r="I217" i="24" s="1"/>
  <c r="M257" i="24"/>
  <c r="M260" i="24" s="1"/>
  <c r="I260" i="24"/>
  <c r="H31" i="7"/>
  <c r="M217" i="24" l="1"/>
  <c r="M220" i="24" s="1"/>
  <c r="I220" i="24"/>
  <c r="I261" i="24"/>
  <c r="I262" i="24"/>
  <c r="M261" i="24"/>
  <c r="M262" i="24"/>
  <c r="M231" i="24"/>
  <c r="M234" i="24" s="1"/>
  <c r="I234" i="24"/>
  <c r="I248" i="24"/>
  <c r="I249" i="24"/>
  <c r="M249" i="24"/>
  <c r="M248" i="24"/>
  <c r="I28" i="7"/>
  <c r="I31" i="7"/>
  <c r="J31" i="7" s="1"/>
  <c r="H21" i="7"/>
  <c r="I221" i="24" l="1"/>
  <c r="I222" i="24"/>
  <c r="M221" i="24"/>
  <c r="M222" i="24"/>
  <c r="M224" i="24" s="1"/>
  <c r="L225" i="24" s="1"/>
  <c r="I251" i="24"/>
  <c r="I252" i="24" s="1"/>
  <c r="I264" i="24"/>
  <c r="I265" i="24" s="1"/>
  <c r="M264" i="24"/>
  <c r="L265" i="24" s="1"/>
  <c r="M251" i="24"/>
  <c r="L252" i="24" s="1"/>
  <c r="I236" i="24"/>
  <c r="I235" i="24"/>
  <c r="M235" i="24"/>
  <c r="M236" i="24"/>
  <c r="I26" i="7"/>
  <c r="J26" i="7" s="1"/>
  <c r="O8" i="7"/>
  <c r="J28" i="7"/>
  <c r="P8" i="7"/>
  <c r="F38" i="7"/>
  <c r="F37" i="7"/>
  <c r="G37" i="7" s="1"/>
  <c r="I224" i="24" l="1"/>
  <c r="I225" i="24" s="1"/>
  <c r="Q8" i="7"/>
  <c r="M28" i="7"/>
  <c r="M238" i="24"/>
  <c r="L239" i="24" s="1"/>
  <c r="I238" i="24"/>
  <c r="I239" i="24" s="1"/>
  <c r="I8" i="22"/>
  <c r="I7" i="22"/>
  <c r="I9" i="22"/>
  <c r="I12" i="22" s="1"/>
  <c r="F9" i="22"/>
  <c r="F12" i="22" s="1"/>
  <c r="F8" i="22"/>
  <c r="F7" i="22"/>
  <c r="F22" i="22" s="1"/>
  <c r="F21" i="22"/>
  <c r="C10" i="22"/>
  <c r="C9" i="22"/>
  <c r="C12" i="22" s="1"/>
  <c r="C8" i="22"/>
  <c r="D20" i="16"/>
  <c r="O58" i="2" s="1"/>
  <c r="M62" i="2" l="1"/>
  <c r="E27" i="2"/>
  <c r="F13" i="22"/>
  <c r="F15" i="22" s="1"/>
  <c r="I13" i="22"/>
  <c r="I14" i="22" s="1"/>
  <c r="D18" i="16"/>
  <c r="D19" i="16"/>
  <c r="E24" i="22"/>
  <c r="C13" i="22"/>
  <c r="C14" i="22" s="1"/>
  <c r="F23" i="22"/>
  <c r="I18" i="7" l="1"/>
  <c r="I15" i="22"/>
  <c r="I17" i="22" s="1"/>
  <c r="I18" i="22" s="1"/>
  <c r="F14" i="22"/>
  <c r="F17" i="22" s="1"/>
  <c r="F18" i="22" s="1"/>
  <c r="I21" i="7"/>
  <c r="J21" i="7" s="1"/>
  <c r="E19" i="7"/>
  <c r="C15" i="22"/>
  <c r="C17" i="22" s="1"/>
  <c r="C18" i="22" s="1"/>
  <c r="O7" i="7" l="1"/>
  <c r="I16" i="7"/>
  <c r="J16" i="7" s="1"/>
  <c r="P7" i="7"/>
  <c r="J18" i="7"/>
  <c r="Q7" i="7" s="1"/>
  <c r="I6" i="7"/>
  <c r="J6" i="7" s="1"/>
  <c r="O6" i="7"/>
  <c r="D13" i="21"/>
  <c r="D4" i="21"/>
  <c r="D3" i="21"/>
  <c r="C6" i="21"/>
  <c r="C9" i="21" s="1"/>
  <c r="E9" i="21" s="1"/>
  <c r="C5" i="21"/>
  <c r="O9" i="7" l="1"/>
  <c r="C15" i="21"/>
  <c r="C8" i="21"/>
  <c r="C16" i="21"/>
  <c r="D16" i="21" s="1"/>
  <c r="C18" i="21" s="1"/>
  <c r="D5" i="21"/>
  <c r="E18" i="21" l="1"/>
  <c r="D15" i="21"/>
  <c r="C17" i="21"/>
  <c r="E8" i="21"/>
  <c r="E10" i="21" s="1"/>
  <c r="E17" i="21" l="1"/>
  <c r="E19" i="21" s="1"/>
  <c r="E22" i="21" s="1"/>
  <c r="D21" i="16" l="1"/>
  <c r="E18" i="2" l="1"/>
  <c r="E37" i="7"/>
  <c r="G18" i="16" l="1"/>
  <c r="G17" i="16"/>
  <c r="F17" i="16"/>
  <c r="F18" i="16"/>
  <c r="F16" i="16"/>
  <c r="G19" i="16" l="1"/>
  <c r="B18" i="16" l="1"/>
  <c r="A19" i="16" s="1"/>
  <c r="B19" i="16" l="1"/>
  <c r="A20" i="16" s="1"/>
  <c r="B20" i="16" s="1"/>
  <c r="E21" i="2"/>
  <c r="E23" i="2" s="1"/>
  <c r="E25" i="2" l="1"/>
  <c r="Q58" i="2"/>
  <c r="M58" i="2" s="1"/>
  <c r="Q51" i="2"/>
  <c r="M51" i="2" s="1"/>
  <c r="I51" i="2" s="1"/>
  <c r="Q44" i="2"/>
  <c r="M44" i="2" s="1"/>
  <c r="I58" i="2"/>
  <c r="F28" i="14" l="1"/>
  <c r="F21" i="14"/>
  <c r="F23" i="14" s="1"/>
  <c r="F26" i="14" s="1"/>
  <c r="F14" i="14"/>
  <c r="O42" i="14"/>
  <c r="M42" i="14"/>
  <c r="J42" i="14"/>
  <c r="F16" i="14" s="1"/>
  <c r="F18" i="14" s="1"/>
  <c r="H42" i="14"/>
  <c r="G42" i="14"/>
  <c r="C42" i="14"/>
  <c r="R71" i="14"/>
  <c r="Q69" i="14"/>
  <c r="N68" i="14"/>
  <c r="M68" i="14"/>
  <c r="L68" i="14"/>
  <c r="N67" i="14"/>
  <c r="M67" i="14"/>
  <c r="L67" i="14"/>
  <c r="N66" i="14"/>
  <c r="M66" i="14"/>
  <c r="L66" i="14"/>
  <c r="N65" i="14"/>
  <c r="M65" i="14"/>
  <c r="L65" i="14"/>
  <c r="N64" i="14"/>
  <c r="M64" i="14"/>
  <c r="L64" i="14"/>
  <c r="N63" i="14"/>
  <c r="M63" i="14"/>
  <c r="L63" i="14"/>
  <c r="N62" i="14"/>
  <c r="M62" i="14"/>
  <c r="L62" i="14"/>
  <c r="N61" i="14"/>
  <c r="M61" i="14"/>
  <c r="L61" i="14"/>
  <c r="N60" i="14"/>
  <c r="M60" i="14"/>
  <c r="L60" i="14"/>
  <c r="N59" i="14"/>
  <c r="M59" i="14"/>
  <c r="L59" i="14"/>
  <c r="N58" i="14"/>
  <c r="M58" i="14"/>
  <c r="L58" i="14"/>
  <c r="N57" i="14"/>
  <c r="M57" i="14"/>
  <c r="L57" i="14"/>
  <c r="N56" i="14"/>
  <c r="M56" i="14"/>
  <c r="L56" i="14"/>
  <c r="K56" i="14"/>
  <c r="F13" i="14" l="1"/>
  <c r="L71" i="14"/>
  <c r="N71" i="14"/>
  <c r="N72" i="14" s="1"/>
  <c r="Q72" i="14" s="1"/>
  <c r="M71" i="14"/>
  <c r="L45" i="14" l="1"/>
  <c r="L46" i="14"/>
  <c r="E45" i="14"/>
  <c r="F45" i="14"/>
  <c r="E46" i="14"/>
  <c r="F46" i="14"/>
  <c r="D46" i="14"/>
  <c r="D45" i="14"/>
  <c r="F54" i="14"/>
  <c r="G51" i="14"/>
  <c r="G50" i="14" s="1"/>
  <c r="F51" i="14"/>
  <c r="F50" i="14" s="1"/>
  <c r="E51" i="14"/>
  <c r="K57" i="14" s="1"/>
  <c r="K58" i="14" s="1"/>
  <c r="E50" i="14"/>
  <c r="K59" i="14" l="1"/>
  <c r="K61" i="14" s="1"/>
  <c r="K63" i="14" s="1"/>
  <c r="K65" i="14" s="1"/>
  <c r="K67" i="14" s="1"/>
  <c r="K60" i="14"/>
  <c r="K62" i="14" s="1"/>
  <c r="K64" i="14" s="1"/>
  <c r="K66" i="14" s="1"/>
  <c r="K68" i="14" s="1"/>
  <c r="K69" i="14" s="1"/>
  <c r="E54" i="14"/>
  <c r="C54" i="14"/>
  <c r="D54" i="14"/>
  <c r="E29" i="2" l="1"/>
  <c r="C52" i="2" l="1"/>
  <c r="J46" i="14"/>
  <c r="I46" i="14"/>
  <c r="C59" i="2" l="1"/>
  <c r="Q45" i="14"/>
  <c r="Q46" i="14" l="1"/>
  <c r="P46" i="14" l="1"/>
  <c r="K46" i="14"/>
  <c r="G46" i="14" l="1"/>
  <c r="O46" i="14" l="1"/>
  <c r="M46" i="14" l="1"/>
  <c r="C46" i="14" l="1"/>
  <c r="N46" i="14"/>
  <c r="I45" i="14" l="1"/>
  <c r="P45" i="14" l="1"/>
  <c r="K45" i="14" l="1"/>
  <c r="E9" i="7" l="1"/>
  <c r="I8" i="7" l="1"/>
  <c r="M45" i="14"/>
  <c r="J8" i="7" l="1"/>
  <c r="Q6" i="7" s="1"/>
  <c r="Q9" i="7" s="1"/>
  <c r="P6" i="7"/>
  <c r="P9" i="7" s="1"/>
  <c r="J45" i="14"/>
  <c r="O45" i="14"/>
  <c r="G45" i="14"/>
  <c r="E10" i="2" l="1"/>
  <c r="H11" i="7" l="1"/>
  <c r="I11" i="7" s="1"/>
  <c r="C34" i="7" s="1"/>
  <c r="J11" i="7" l="1"/>
  <c r="D37" i="7" s="1"/>
  <c r="I37" i="7" s="1"/>
  <c r="H37" i="7" s="1"/>
  <c r="J37" i="7" s="1"/>
  <c r="C45" i="14" l="1"/>
  <c r="N45" i="14"/>
  <c r="I44" i="2" l="1"/>
  <c r="D44" i="2" l="1"/>
  <c r="E44" i="2"/>
  <c r="C72" i="2" s="1"/>
  <c r="C44" i="2" l="1"/>
  <c r="C71" i="2"/>
  <c r="C73" i="2" s="1"/>
  <c r="C63" i="2" l="1"/>
  <c r="C68" i="2" s="1"/>
  <c r="C45" i="2"/>
  <c r="C6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pro</author>
    <author>sebastian</author>
    <author>Shreya Garg</author>
    <author>Alexandre Dunod</author>
    <author>abraham TOE</author>
  </authors>
  <commentList>
    <comment ref="B3" authorId="0" shapeId="0" xr:uid="{69C1F2DE-90BD-47D2-9FE5-73262D672EFC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Former name : Man and Man Enterprise Improved Cooking Stoves Programme in Ghana supported by Republic of Korea</t>
        </r>
      </text>
    </comment>
    <comment ref="E10" authorId="1" shapeId="0" xr:uid="{00000000-0006-0000-0000-000001000000}">
      <text>
        <r>
          <rPr>
            <b/>
            <sz val="9"/>
            <color rgb="FF000000"/>
            <rFont val="Tahoma"/>
            <family val="2"/>
          </rPr>
          <t>Only one project stove is counted per household for energy savings.</t>
        </r>
      </text>
    </comment>
    <comment ref="E11" authorId="2" shapeId="0" xr:uid="{00000000-0006-0000-0000-000002000000}">
      <text>
        <r>
          <rPr>
            <sz val="9"/>
            <color rgb="FF000000"/>
            <rFont val="Tahoma"/>
            <family val="2"/>
          </rPr>
          <t>IPCC default for wood fuel, 0.015 TJ/tonne, based on the gross weight of the wood that is ‘air-dried’ converted.</t>
        </r>
      </text>
    </comment>
    <comment ref="P42" authorId="3" shapeId="0" xr:uid="{EDB9FBC3-B924-4100-8234-4DD9F76B2361}">
      <text>
        <r>
          <rPr>
            <sz val="9"/>
            <color indexed="81"/>
            <rFont val="Tahoma"/>
            <family val="2"/>
          </rPr>
          <t>Percentage of operational stoves</t>
        </r>
      </text>
    </comment>
    <comment ref="Q42" authorId="3" shapeId="0" xr:uid="{92B57CEC-499D-4BC5-97BB-4F0656459F4E}">
      <text>
        <r>
          <rPr>
            <sz val="9"/>
            <color indexed="81"/>
            <rFont val="Tahoma"/>
            <family val="2"/>
          </rPr>
          <t>Average historical wood equivalent consumption per household</t>
        </r>
      </text>
    </comment>
    <comment ref="D44" authorId="4" shapeId="0" xr:uid="{DA42FEB4-DB51-43C3-9511-0100E95EDDF1}">
      <text>
        <r>
          <rPr>
            <b/>
            <sz val="9"/>
            <color indexed="81"/>
            <rFont val="Tahoma"/>
            <charset val="1"/>
          </rPr>
          <t>abraham TOE:</t>
        </r>
        <r>
          <rPr>
            <sz val="9"/>
            <color indexed="81"/>
            <rFont val="Tahoma"/>
            <charset val="1"/>
          </rPr>
          <t xml:space="preserve">
13,000 stoves distributed by Ecoeye the other stoves are for KZ</t>
        </r>
      </text>
    </comment>
    <comment ref="P49" authorId="3" shapeId="0" xr:uid="{2EFCA6D8-8905-47DA-9AA4-561284A03012}">
      <text>
        <r>
          <rPr>
            <sz val="9"/>
            <color indexed="81"/>
            <rFont val="Tahoma"/>
            <family val="2"/>
          </rPr>
          <t>Percentage of operational stoves</t>
        </r>
      </text>
    </comment>
    <comment ref="Q49" authorId="3" shapeId="0" xr:uid="{3AB7253D-07DE-48F3-B67F-D03C795A8A39}">
      <text>
        <r>
          <rPr>
            <sz val="9"/>
            <color indexed="81"/>
            <rFont val="Tahoma"/>
            <family val="2"/>
          </rPr>
          <t>Average historical wood equivalent consumption per household</t>
        </r>
      </text>
    </comment>
    <comment ref="P56" authorId="3" shapeId="0" xr:uid="{79CA0E03-6652-49F1-B116-91B61CBD580D}">
      <text>
        <r>
          <rPr>
            <sz val="9"/>
            <color indexed="81"/>
            <rFont val="Tahoma"/>
            <family val="2"/>
          </rPr>
          <t>Percentage of operational stoves</t>
        </r>
      </text>
    </comment>
    <comment ref="Q56" authorId="3" shapeId="0" xr:uid="{7E28D2FC-0D09-488B-A3B6-0050C83A41EE}">
      <text>
        <r>
          <rPr>
            <sz val="9"/>
            <color indexed="81"/>
            <rFont val="Tahoma"/>
            <family val="2"/>
          </rPr>
          <t>Average historical wood equivalent consumption per household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Mayr</author>
    <author>sebastian</author>
    <author>Alexandre Dunod</author>
  </authors>
  <commentList>
    <comment ref="F27" authorId="0" shapeId="0" xr:uid="{29C3207D-7C80-4981-AB30-8C6A31F25404}">
      <text>
        <r>
          <rPr>
            <sz val="9"/>
            <color indexed="81"/>
            <rFont val="Tahoma"/>
            <family val="2"/>
          </rPr>
          <t>The proportion has already been studied in previous studies in line with option (a) of  para  (5) of Appendix 1 of Guideline: Sampling and surveys for CDM project activities and programmes of activities Version 04.0: 
GS1385 Man and Man Enterprise Improved Cooking Stoves Programme in Ghana - VPA1 - Values: MR1 93,10%, MR2 87,80%, MR3 96,27%), MR4 96,12%, MR5 99,09% leading to an average value of 94,48%.
GS1385 - VPA1 is the almost identicial sister cook stove programme implemented by Man &amp; Man distributing the same kind of ICSs to urban housholdes in Ghana.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943783DD-0C6C-4589-AF25-36B1E2ABA7FA}">
      <text>
        <r>
          <rPr>
            <sz val="9"/>
            <color indexed="81"/>
            <rFont val="Tahoma"/>
            <family val="2"/>
          </rPr>
          <t xml:space="preserve">The proportion has already been studied in previous studies in line with option (a) of  para  (5) of Appendix 1 of Guideline: Sampling and surveys for CDM project activities and programmes of activities Version 04.0: 
GS1385 Man and Man Enterprise Improved Cooking Stoves Programme in Ghana - VPA1 - Values: MR1 88,99%, MR2 86,38%, (MR3 74,39% - lower bound of confidence interval), MR4 87,25%, MR5 88,58% leading to an average value of 87,80%.
GS1385 - VPA1 is the almost identicial sister cook stove programme implemented by Man &amp; Man distributing the same kind of ICSs to urban housholdes in Ghana.
</t>
        </r>
      </text>
    </comment>
    <comment ref="N35" authorId="1" shapeId="0" xr:uid="{B194815C-8156-40F9-AC02-F73AD5B9509E}">
      <text>
        <r>
          <rPr>
            <b/>
            <sz val="9"/>
            <color indexed="81"/>
            <rFont val="Tahoma"/>
            <family val="2"/>
          </rPr>
          <t>sebastian:</t>
        </r>
        <r>
          <rPr>
            <sz val="9"/>
            <color indexed="81"/>
            <rFont val="Tahoma"/>
            <family val="2"/>
          </rPr>
          <t xml:space="preserve">
Percentage of continued baseline stove use</t>
        </r>
      </text>
    </comment>
    <comment ref="O35" authorId="2" shapeId="0" xr:uid="{8F33F25C-178C-45EC-9BB6-88802C3B2E13}">
      <text>
        <r>
          <rPr>
            <sz val="9"/>
            <color indexed="81"/>
            <rFont val="Tahoma"/>
            <family val="2"/>
          </rPr>
          <t>Percentage of Stove operational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Mayr</author>
    <author>Utilisateur Microsoft Office</author>
  </authors>
  <commentList>
    <comment ref="F6" authorId="0" shapeId="0" xr:uid="{F6E51ACF-3640-46E8-9D79-4BDA2FCC060B}">
      <text>
        <r>
          <rPr>
            <sz val="9"/>
            <color rgb="FF000000"/>
            <rFont val="Tahoma"/>
            <family val="2"/>
          </rPr>
          <t>The proportion considered here comes from the 3rd monitoring survey realized for CPA1</t>
        </r>
      </text>
    </comment>
    <comment ref="F11" authorId="1" shapeId="0" xr:uid="{470DB7CE-1D41-45C1-B5BB-B786DE4E380B}">
      <text>
        <r>
          <rPr>
            <sz val="9"/>
            <color indexed="81"/>
            <rFont val="Tahoma"/>
            <family val="2"/>
          </rPr>
          <t>The standard deviation considered here comes from the 3rd WBT realized for CPA1</t>
        </r>
      </text>
    </comment>
    <comment ref="F12" authorId="1" shapeId="0" xr:uid="{41CBC8E5-F7D1-4C1C-9848-884805215D1C}">
      <text>
        <r>
          <rPr>
            <sz val="9"/>
            <color indexed="81"/>
            <rFont val="Tahoma"/>
            <family val="2"/>
          </rPr>
          <t>The mean considered here comes from the 3rd WBT realized for CPA1.</t>
        </r>
      </text>
    </comment>
    <comment ref="F21" authorId="1" shapeId="0" xr:uid="{A9BC79A1-1E12-47D9-9384-B7C0DC5F1031}">
      <text>
        <r>
          <rPr>
            <sz val="9"/>
            <color indexed="81"/>
            <rFont val="Tahoma"/>
            <family val="2"/>
          </rPr>
          <t>The standard deviation considered here comes from the 3rd WBT realized for CPA1</t>
        </r>
      </text>
    </comment>
    <comment ref="F22" authorId="1" shapeId="0" xr:uid="{7D457F83-1D8F-41DF-B230-4923146E3107}">
      <text>
        <r>
          <rPr>
            <sz val="9"/>
            <color indexed="81"/>
            <rFont val="Tahoma"/>
            <family val="2"/>
          </rPr>
          <t>The mean considered here comes from the 3rd WBT realized for CPA1.</t>
        </r>
      </text>
    </comment>
    <comment ref="F27" authorId="0" shapeId="0" xr:uid="{A543AB04-802E-4D39-9EC4-BE1F03DC2470}">
      <text>
        <r>
          <rPr>
            <sz val="9"/>
            <color rgb="FF000000"/>
            <rFont val="Tahoma"/>
            <family val="2"/>
          </rPr>
          <t>The proportion considered here comes from the 3rd monitoring survey realized for CPA1</t>
        </r>
      </text>
    </comment>
    <comment ref="F29" authorId="0" shapeId="0" xr:uid="{C113AB21-40CE-4BB5-A047-D0FB85A9C2B3}">
      <text>
        <r>
          <rPr>
            <sz val="9"/>
            <color rgb="FF000000"/>
            <rFont val="Tahoma"/>
            <family val="2"/>
          </rPr>
          <t>The proportion considered here comes from the 3rd monitoring survey realized for CPA1.</t>
        </r>
      </text>
    </comment>
    <comment ref="F31" authorId="1" shapeId="0" xr:uid="{FA4D9EEB-78CE-4DC6-BC3A-8A9E1853156D}">
      <text>
        <r>
          <rPr>
            <sz val="9"/>
            <color indexed="81"/>
            <rFont val="Tahoma"/>
            <family val="2"/>
          </rPr>
          <t>The standard deviation considered here comes from the 3rd WBT realized for CPA1</t>
        </r>
      </text>
    </comment>
    <comment ref="F32" authorId="1" shapeId="0" xr:uid="{D5270347-260A-41B5-AED8-5A21B09842E8}">
      <text>
        <r>
          <rPr>
            <sz val="9"/>
            <color indexed="81"/>
            <rFont val="Tahoma"/>
            <family val="2"/>
          </rPr>
          <t>The mean considered here comes from the 3rd WBT realized for CPA1.</t>
        </r>
      </text>
    </comment>
    <comment ref="F37" authorId="1" shapeId="0" xr:uid="{7084649E-0197-4C87-86BF-B99E21A2362C}">
      <text>
        <r>
          <rPr>
            <sz val="9"/>
            <color indexed="81"/>
            <rFont val="Tahoma"/>
            <family val="2"/>
          </rPr>
          <t>The standard deviation considered here comes from the 3rd WBT realized for CPA1</t>
        </r>
      </text>
    </comment>
    <comment ref="F38" authorId="1" shapeId="0" xr:uid="{0731F3DE-3517-42D2-9211-89966CD6AEDC}">
      <text>
        <r>
          <rPr>
            <sz val="9"/>
            <color indexed="81"/>
            <rFont val="Tahoma"/>
            <family val="2"/>
          </rPr>
          <t>The mean considered here comes from the 3rd WBT realized for CPA1.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pro</author>
  </authors>
  <commentList>
    <comment ref="R3" authorId="0" shapeId="0" xr:uid="{B79FB03F-3F97-49FB-A5DF-7A3FBC7BED55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3" authorId="0" shapeId="0" xr:uid="{96A04374-6FF2-42F0-9F41-CF8234AF7C0C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2" authorId="0" shapeId="0" xr:uid="{BF0211A7-9363-4384-A7CD-FF4962891750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2" authorId="0" shapeId="0" xr:uid="{D768D835-F849-4043-9510-2427E2F90E31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6" authorId="0" shapeId="0" xr:uid="{8D839002-29EF-45C7-932A-3ED1102BF75D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6" authorId="0" shapeId="0" xr:uid="{15A9EDD9-813B-4CFE-9486-C5474AD7787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24" authorId="0" shapeId="0" xr:uid="{B60E4553-E6A2-4C34-B056-4F54E26BCE19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24" authorId="0" shapeId="0" xr:uid="{918C3915-A492-40B1-B2FA-69019976205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29" authorId="0" shapeId="0" xr:uid="{DA0D53E4-AC7F-411B-B3F0-F815F79DE3CE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29" authorId="0" shapeId="0" xr:uid="{14961A06-651F-405F-B8FD-5B3841F04EB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81" authorId="0" shapeId="0" xr:uid="{CF4E58B0-9243-4032-A8DA-AC51B5CA429D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81" authorId="0" shapeId="0" xr:uid="{CC8F8DE9-C8B9-4A72-BC31-1E41A05F582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94" authorId="0" shapeId="0" xr:uid="{E4BAC6C5-79F6-4FC7-A563-1254BF3A4DBC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94" authorId="0" shapeId="0" xr:uid="{C38EBC2E-CA74-46AE-8E5F-546E391EE396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09" authorId="0" shapeId="0" xr:uid="{3BF2C9FF-3F06-4E60-B19D-CFCE99121602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09" authorId="0" shapeId="0" xr:uid="{08DDDD24-9294-439D-8F99-9EB15B3F86D1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13" authorId="0" shapeId="0" xr:uid="{ABCF671B-FBC5-4975-AD7B-52A1F9771CB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13" authorId="0" shapeId="0" xr:uid="{B55EECD8-616C-46FB-B5E0-42D988EE2EB4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29" authorId="0" shapeId="0" xr:uid="{978FC41B-6384-42F0-8B7B-5D20D83EB194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29" authorId="0" shapeId="0" xr:uid="{C6B5E6C2-71A5-4483-AF24-9FE085899467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36" authorId="0" shapeId="0" xr:uid="{9CD2CCDD-9349-4680-BD89-011228BC45BC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36" authorId="0" shapeId="0" xr:uid="{EA571341-2BE0-4289-BFB8-E10476C1DE50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79" authorId="0" shapeId="0" xr:uid="{6BC86C58-D815-487D-879C-87EF34A07B19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79" authorId="0" shapeId="0" xr:uid="{780C6B1B-24B9-4B27-A0E4-80FD7B455DF8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R188" authorId="0" shapeId="0" xr:uid="{18C353C7-7CF2-4338-8245-5E3D258A5339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S188" authorId="0" shapeId="0" xr:uid="{38F52A9B-8251-43BB-9255-49270D2A33FB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as the stove isnt operational, a "no" in considered conservatively</t>
        </r>
      </text>
    </comment>
    <comment ref="P213" authorId="0" shapeId="0" xr:uid="{7993F5D2-3575-4BFE-8E8D-A20F2C7B91F2}">
      <text>
        <r>
          <rPr>
            <b/>
            <sz val="9"/>
            <color indexed="81"/>
            <rFont val="Tahoma"/>
            <family val="2"/>
          </rPr>
          <t>Harold pro:</t>
        </r>
        <r>
          <rPr>
            <sz val="9"/>
            <color indexed="81"/>
            <rFont val="Tahoma"/>
            <family val="2"/>
          </rPr>
          <t xml:space="preserve">
Formula to account only U calculation for stoves that are operational. As stoves non operational are already accounted in operating devices proportions</t>
        </r>
      </text>
    </comment>
  </commentList>
</comments>
</file>

<file path=xl/sharedStrings.xml><?xml version="1.0" encoding="utf-8"?>
<sst xmlns="http://schemas.openxmlformats.org/spreadsheetml/2006/main" count="3394" uniqueCount="1064">
  <si>
    <t>CPA1 - Man and Man Enterprise Improved Cooking Stoves Programme in Ghana (Brong-Ahafo region)</t>
  </si>
  <si>
    <t>AMS-II.G Version 08.0</t>
  </si>
  <si>
    <t>Value for CPA1 (VCS)</t>
  </si>
  <si>
    <t>Unit</t>
    <phoneticPr fontId="1" type="noConversion"/>
  </si>
  <si>
    <t>Micro-scale energy savings limit</t>
  </si>
  <si>
    <r>
      <t>MWh</t>
    </r>
    <r>
      <rPr>
        <vertAlign val="subscript"/>
        <sz val="10"/>
        <color indexed="63"/>
        <rFont val="Arial"/>
        <family val="2"/>
      </rPr>
      <t>th</t>
    </r>
    <r>
      <rPr>
        <sz val="10"/>
        <color indexed="63"/>
        <rFont val="Arial"/>
        <family val="2"/>
      </rPr>
      <t>/app/y</t>
    </r>
  </si>
  <si>
    <t>Energy savings per stove</t>
  </si>
  <si>
    <r>
      <t>MWh</t>
    </r>
    <r>
      <rPr>
        <vertAlign val="subscript"/>
        <sz val="10"/>
        <color rgb="FF41515C"/>
        <rFont val="Arial Narrow"/>
        <family val="2"/>
      </rPr>
      <t>th</t>
    </r>
    <r>
      <rPr>
        <sz val="10"/>
        <color rgb="FF41515C"/>
        <rFont val="Arial"/>
        <family val="2"/>
      </rPr>
      <t>/y</t>
    </r>
  </si>
  <si>
    <t>NCV biomass (charcoal)</t>
  </si>
  <si>
    <r>
      <t>MWh</t>
    </r>
    <r>
      <rPr>
        <vertAlign val="subscript"/>
        <sz val="10"/>
        <color indexed="63"/>
        <rFont val="Arial"/>
        <family val="2"/>
      </rPr>
      <t>th</t>
    </r>
    <r>
      <rPr>
        <sz val="10"/>
        <color indexed="63"/>
        <rFont val="Arial"/>
        <family val="2"/>
      </rPr>
      <t>/t</t>
    </r>
  </si>
  <si>
    <r>
      <t>NCV</t>
    </r>
    <r>
      <rPr>
        <vertAlign val="subscript"/>
        <sz val="10"/>
        <color indexed="9"/>
        <rFont val="Arial"/>
        <family val="2"/>
      </rPr>
      <t>biomass</t>
    </r>
  </si>
  <si>
    <t>TJ/ton</t>
  </si>
  <si>
    <r>
      <t>f</t>
    </r>
    <r>
      <rPr>
        <vertAlign val="subscript"/>
        <sz val="10"/>
        <color indexed="9"/>
        <rFont val="Arial"/>
        <family val="2"/>
      </rPr>
      <t>NRB,y</t>
    </r>
  </si>
  <si>
    <t>%</t>
  </si>
  <si>
    <r>
      <t>EF</t>
    </r>
    <r>
      <rPr>
        <vertAlign val="subscript"/>
        <sz val="10"/>
        <color indexed="9"/>
        <rFont val="Arial"/>
        <family val="2"/>
      </rPr>
      <t>projected_fossilfuel</t>
    </r>
  </si>
  <si>
    <t>tCO2/TJ</t>
  </si>
  <si>
    <r>
      <rPr>
        <sz val="10"/>
        <color indexed="9"/>
        <rFont val="Calibri"/>
        <family val="2"/>
      </rPr>
      <t>η</t>
    </r>
    <r>
      <rPr>
        <vertAlign val="subscript"/>
        <sz val="10"/>
        <color indexed="9"/>
        <rFont val="Century Gothic"/>
        <family val="2"/>
      </rPr>
      <t>old,i,j</t>
    </r>
  </si>
  <si>
    <r>
      <rPr>
        <sz val="10"/>
        <color indexed="9"/>
        <rFont val="Calibri"/>
        <family val="2"/>
      </rPr>
      <t>η</t>
    </r>
    <r>
      <rPr>
        <vertAlign val="subscript"/>
        <sz val="10"/>
        <color indexed="9"/>
        <rFont val="Century Gothic"/>
        <family val="2"/>
      </rPr>
      <t>new,i,i</t>
    </r>
  </si>
  <si>
    <t>Energy savings</t>
  </si>
  <si>
    <t>Stoves under CPA</t>
  </si>
  <si>
    <t>units</t>
  </si>
  <si>
    <t>Historical biomass consumption per capita per year</t>
  </si>
  <si>
    <t>kg/pers/year</t>
  </si>
  <si>
    <r>
      <t>M</t>
    </r>
    <r>
      <rPr>
        <b/>
        <vertAlign val="subscript"/>
        <sz val="10"/>
        <color theme="0"/>
        <rFont val="Arial"/>
        <family val="2"/>
      </rPr>
      <t>wood</t>
    </r>
    <r>
      <rPr>
        <b/>
        <sz val="10"/>
        <color theme="0"/>
        <rFont val="Arial"/>
        <family val="2"/>
      </rPr>
      <t xml:space="preserve"> to charcoal factor</t>
    </r>
  </si>
  <si>
    <t>kg of wood for 1 kg of charcoal</t>
  </si>
  <si>
    <r>
      <t>B</t>
    </r>
    <r>
      <rPr>
        <b/>
        <vertAlign val="subscript"/>
        <sz val="10"/>
        <color theme="0"/>
        <rFont val="Arial"/>
        <family val="2"/>
      </rPr>
      <t>old,p</t>
    </r>
  </si>
  <si>
    <t xml:space="preserve"> tonnes of wood equivalent/capita/y</t>
  </si>
  <si>
    <r>
      <t>N</t>
    </r>
    <r>
      <rPr>
        <b/>
        <vertAlign val="subscript"/>
        <sz val="9"/>
        <color theme="0"/>
        <rFont val="Arial"/>
        <family val="2"/>
      </rPr>
      <t>p</t>
    </r>
    <r>
      <rPr>
        <b/>
        <vertAlign val="subscript"/>
        <sz val="10"/>
        <color theme="0"/>
        <rFont val="Arial"/>
        <family val="2"/>
      </rPr>
      <t>/HH</t>
    </r>
  </si>
  <si>
    <t>person / household</t>
  </si>
  <si>
    <r>
      <t>B</t>
    </r>
    <r>
      <rPr>
        <b/>
        <vertAlign val="subscript"/>
        <sz val="10"/>
        <color indexed="63"/>
        <rFont val="Arial"/>
        <family val="2"/>
      </rPr>
      <t>old,HH</t>
    </r>
    <r>
      <rPr>
        <b/>
        <sz val="10"/>
        <color indexed="63"/>
        <rFont val="Arial"/>
        <family val="2"/>
      </rPr>
      <t xml:space="preserve"> = B</t>
    </r>
    <r>
      <rPr>
        <b/>
        <vertAlign val="subscript"/>
        <sz val="10"/>
        <color indexed="63"/>
        <rFont val="Arial"/>
        <family val="2"/>
      </rPr>
      <t>old,p</t>
    </r>
    <r>
      <rPr>
        <b/>
        <sz val="10"/>
        <color indexed="63"/>
        <rFont val="Arial"/>
        <family val="2"/>
      </rPr>
      <t xml:space="preserve"> * N</t>
    </r>
    <r>
      <rPr>
        <b/>
        <vertAlign val="subscript"/>
        <sz val="9"/>
        <color indexed="63"/>
        <rFont val="Arial"/>
        <family val="2"/>
      </rPr>
      <t>p</t>
    </r>
    <r>
      <rPr>
        <b/>
        <vertAlign val="subscript"/>
        <sz val="10"/>
        <color indexed="63"/>
        <rFont val="Arial"/>
        <family val="2"/>
      </rPr>
      <t>/HH</t>
    </r>
  </si>
  <si>
    <t>tonnes/household/year</t>
  </si>
  <si>
    <t>projects stoves/household</t>
  </si>
  <si>
    <t>tonnes/year</t>
  </si>
  <si>
    <r>
      <t>Leakage</t>
    </r>
    <r>
      <rPr>
        <b/>
        <vertAlign val="subscript"/>
        <sz val="10"/>
        <color indexed="9"/>
        <rFont val="Arial"/>
        <family val="2"/>
      </rPr>
      <t>adj</t>
    </r>
  </si>
  <si>
    <t>fraction</t>
  </si>
  <si>
    <t>By,savings,i,j = Bold,i,j * (1 - ηold,i,j/ηnew,i,j)*Leakageadj</t>
  </si>
  <si>
    <t>tons</t>
  </si>
  <si>
    <r>
      <t>p</t>
    </r>
    <r>
      <rPr>
        <b/>
        <vertAlign val="subscript"/>
        <sz val="10"/>
        <color theme="0"/>
        <rFont val="Arial"/>
        <family val="2"/>
      </rPr>
      <t>op_stoves,y</t>
    </r>
  </si>
  <si>
    <r>
      <t>N</t>
    </r>
    <r>
      <rPr>
        <b/>
        <vertAlign val="subscript"/>
        <sz val="10"/>
        <color theme="3"/>
        <rFont val="Arial"/>
        <family val="2"/>
      </rPr>
      <t>y,i,j</t>
    </r>
    <r>
      <rPr>
        <b/>
        <sz val="10"/>
        <color theme="3"/>
        <rFont val="Arial"/>
        <family val="2"/>
      </rPr>
      <t xml:space="preserve"> = Number of stoves * pop_stoves,y</t>
    </r>
  </si>
  <si>
    <r>
      <rPr>
        <b/>
        <vertAlign val="subscript"/>
        <sz val="16"/>
        <color indexed="9"/>
        <rFont val="Arial"/>
        <family val="2"/>
      </rPr>
      <t xml:space="preserve"> </t>
    </r>
    <r>
      <rPr>
        <b/>
        <vertAlign val="subscript"/>
        <sz val="16"/>
        <color indexed="9"/>
        <rFont val="Calibri"/>
        <family val="2"/>
      </rPr>
      <t>µ</t>
    </r>
    <r>
      <rPr>
        <b/>
        <vertAlign val="subscript"/>
        <sz val="9"/>
        <color indexed="9"/>
        <rFont val="Arial"/>
        <family val="2"/>
      </rPr>
      <t>,y</t>
    </r>
    <r>
      <rPr>
        <b/>
        <vertAlign val="subscript"/>
        <sz val="12"/>
        <color indexed="9"/>
        <rFont val="Arial"/>
        <family val="2"/>
      </rPr>
      <t xml:space="preserve"> (pre-project devices use)</t>
    </r>
  </si>
  <si>
    <t>Crediting period Monitoring Report</t>
  </si>
  <si>
    <t>days</t>
  </si>
  <si>
    <t>yellow = monitored parameter</t>
  </si>
  <si>
    <t>Emission reductions</t>
  </si>
  <si>
    <r>
      <t>B</t>
    </r>
    <r>
      <rPr>
        <b/>
        <vertAlign val="subscript"/>
        <sz val="10"/>
        <color rgb="FF41515C"/>
        <rFont val="Arial"/>
        <family val="2"/>
      </rPr>
      <t xml:space="preserve">y,savings,i,j </t>
    </r>
    <r>
      <rPr>
        <b/>
        <sz val="10"/>
        <color rgb="FF41515C"/>
        <rFont val="Arial"/>
        <family val="2"/>
      </rPr>
      <t>= B</t>
    </r>
    <r>
      <rPr>
        <b/>
        <vertAlign val="subscript"/>
        <sz val="10"/>
        <color rgb="FF41515C"/>
        <rFont val="Arial"/>
        <family val="2"/>
      </rPr>
      <t>old,i,j</t>
    </r>
    <r>
      <rPr>
        <b/>
        <sz val="10"/>
        <color rgb="FF41515C"/>
        <rFont val="Arial"/>
        <family val="2"/>
      </rPr>
      <t xml:space="preserve"> * (1 - η</t>
    </r>
    <r>
      <rPr>
        <b/>
        <vertAlign val="subscript"/>
        <sz val="10"/>
        <color rgb="FF41515C"/>
        <rFont val="Arial"/>
        <family val="2"/>
      </rPr>
      <t>old,i,j</t>
    </r>
    <r>
      <rPr>
        <b/>
        <sz val="10"/>
        <color rgb="FF41515C"/>
        <rFont val="Arial"/>
        <family val="2"/>
      </rPr>
      <t>/η</t>
    </r>
    <r>
      <rPr>
        <b/>
        <vertAlign val="subscript"/>
        <sz val="10"/>
        <color rgb="FF41515C"/>
        <rFont val="Arial"/>
        <family val="2"/>
      </rPr>
      <t>new,i,j</t>
    </r>
    <r>
      <rPr>
        <b/>
        <sz val="10"/>
        <color rgb="FF41515C"/>
        <rFont val="Arial"/>
        <family val="2"/>
      </rPr>
      <t>)*Leakage</t>
    </r>
    <r>
      <rPr>
        <b/>
        <vertAlign val="subscript"/>
        <sz val="10"/>
        <color rgb="FF41515C"/>
        <rFont val="Arial"/>
        <family val="2"/>
      </rPr>
      <t>adj</t>
    </r>
  </si>
  <si>
    <t>Baseline emission = Bold,i,j* Fnrb* NCVbiomass *Efprojected_fossilfuel *Ny,I*U,y*Year prorata</t>
  </si>
  <si>
    <t>Project emission = (Bold,i,j- Bysaving)* Fnrb* NCVbiomass *Efprojected_fossilfuel *Ny,I*U,y*Year prorata</t>
  </si>
  <si>
    <t>Leakage = 0.95 factor applied to By,savings,i,j</t>
  </si>
  <si>
    <t xml:space="preserve">Emissions reductions = Baselines emissions - Project emissions - Leakages emissions </t>
  </si>
  <si>
    <r>
      <t>ER</t>
    </r>
    <r>
      <rPr>
        <vertAlign val="subscript"/>
        <sz val="12"/>
        <color indexed="9"/>
        <rFont val="Arial"/>
        <family val="2"/>
      </rPr>
      <t>y</t>
    </r>
  </si>
  <si>
    <r>
      <t>f</t>
    </r>
    <r>
      <rPr>
        <vertAlign val="subscript"/>
        <sz val="12"/>
        <color indexed="9"/>
        <rFont val="Arial"/>
        <family val="2"/>
      </rPr>
      <t>NRB,y</t>
    </r>
  </si>
  <si>
    <r>
      <t>NCV</t>
    </r>
    <r>
      <rPr>
        <vertAlign val="subscript"/>
        <sz val="12"/>
        <color indexed="9"/>
        <rFont val="Arial"/>
        <family val="2"/>
      </rPr>
      <t>biomass</t>
    </r>
  </si>
  <si>
    <r>
      <t>EF</t>
    </r>
    <r>
      <rPr>
        <vertAlign val="subscript"/>
        <sz val="12"/>
        <color indexed="9"/>
        <rFont val="Arial"/>
        <family val="2"/>
      </rPr>
      <t>projected_fossilfuel</t>
    </r>
  </si>
  <si>
    <r>
      <t>B</t>
    </r>
    <r>
      <rPr>
        <vertAlign val="subscript"/>
        <sz val="12"/>
        <color indexed="9"/>
        <rFont val="Arial"/>
        <family val="2"/>
      </rPr>
      <t>y,savings</t>
    </r>
  </si>
  <si>
    <r>
      <t>η</t>
    </r>
    <r>
      <rPr>
        <b/>
        <vertAlign val="subscript"/>
        <sz val="12"/>
        <color indexed="9"/>
        <rFont val="Arial"/>
        <family val="2"/>
      </rPr>
      <t>old</t>
    </r>
  </si>
  <si>
    <r>
      <t>η</t>
    </r>
    <r>
      <rPr>
        <b/>
        <vertAlign val="subscript"/>
        <sz val="12"/>
        <color indexed="9"/>
        <rFont val="Arial"/>
        <family val="2"/>
      </rPr>
      <t>new,y</t>
    </r>
  </si>
  <si>
    <r>
      <t>B</t>
    </r>
    <r>
      <rPr>
        <b/>
        <vertAlign val="subscript"/>
        <sz val="12"/>
        <color indexed="9"/>
        <rFont val="Arial"/>
        <family val="2"/>
      </rPr>
      <t>old,i,j</t>
    </r>
  </si>
  <si>
    <r>
      <t>Leakage</t>
    </r>
    <r>
      <rPr>
        <vertAlign val="subscript"/>
        <sz val="12"/>
        <color indexed="9"/>
        <rFont val="Arial"/>
        <family val="2"/>
      </rPr>
      <t>adj</t>
    </r>
  </si>
  <si>
    <r>
      <t>N</t>
    </r>
    <r>
      <rPr>
        <b/>
        <vertAlign val="subscript"/>
        <sz val="12"/>
        <color indexed="9"/>
        <rFont val="Arial"/>
        <family val="2"/>
      </rPr>
      <t>y,i,j</t>
    </r>
  </si>
  <si>
    <r>
      <t>P</t>
    </r>
    <r>
      <rPr>
        <b/>
        <vertAlign val="subscript"/>
        <sz val="12"/>
        <color indexed="9"/>
        <rFont val="Arial"/>
        <family val="2"/>
      </rPr>
      <t>operational</t>
    </r>
  </si>
  <si>
    <r>
      <t>B</t>
    </r>
    <r>
      <rPr>
        <b/>
        <vertAlign val="subscript"/>
        <sz val="12"/>
        <color indexed="9"/>
        <rFont val="Arial"/>
        <family val="2"/>
      </rPr>
      <t>old,HH</t>
    </r>
  </si>
  <si>
    <r>
      <t>tCO</t>
    </r>
    <r>
      <rPr>
        <vertAlign val="subscript"/>
        <sz val="12"/>
        <color indexed="9"/>
        <rFont val="Arial"/>
        <family val="2"/>
      </rPr>
      <t>2</t>
    </r>
    <r>
      <rPr>
        <sz val="12"/>
        <color indexed="9"/>
        <rFont val="Arial"/>
        <family val="2"/>
      </rPr>
      <t>e</t>
    </r>
  </si>
  <si>
    <r>
      <t>tCO</t>
    </r>
    <r>
      <rPr>
        <i/>
        <vertAlign val="subscript"/>
        <sz val="12"/>
        <color indexed="9"/>
        <rFont val="Arial"/>
        <family val="2"/>
      </rPr>
      <t>2</t>
    </r>
    <r>
      <rPr>
        <i/>
        <sz val="12"/>
        <color indexed="9"/>
        <rFont val="Arial"/>
        <family val="2"/>
      </rPr>
      <t>/TJ</t>
    </r>
  </si>
  <si>
    <t>number</t>
  </si>
  <si>
    <t>quantity</t>
  </si>
  <si>
    <t>tons/stove/y</t>
  </si>
  <si>
    <t>TOTAL</t>
  </si>
  <si>
    <t>-</t>
  </si>
  <si>
    <t>Total</t>
  </si>
  <si>
    <t>Man and Man Enterprise Improved Cooking Stoves CDM Programme in Ghana support by Republic of Korea</t>
  </si>
  <si>
    <t>Value</t>
  </si>
  <si>
    <t>Source</t>
  </si>
  <si>
    <t>Small-scale CPA energy savings limit</t>
  </si>
  <si>
    <r>
      <t>GWh</t>
    </r>
    <r>
      <rPr>
        <vertAlign val="subscript"/>
        <sz val="10"/>
        <color indexed="63"/>
        <rFont val="Arial"/>
        <family val="2"/>
      </rPr>
      <t>th</t>
    </r>
    <r>
      <rPr>
        <sz val="10"/>
        <color indexed="63"/>
        <rFont val="Arial"/>
        <family val="2"/>
      </rPr>
      <t>/y</t>
    </r>
  </si>
  <si>
    <t>CDM Project Standard</t>
  </si>
  <si>
    <r>
      <t>MWh</t>
    </r>
    <r>
      <rPr>
        <vertAlign val="subscript"/>
        <sz val="10"/>
        <color rgb="FF41515C"/>
        <rFont val="Arial"/>
        <family val="2"/>
      </rPr>
      <t>th</t>
    </r>
    <r>
      <rPr>
        <sz val="10"/>
        <color rgb="FF41515C"/>
        <rFont val="Arial"/>
        <family val="2"/>
      </rPr>
      <t>/y</t>
    </r>
  </si>
  <si>
    <t>Calculated</t>
  </si>
  <si>
    <r>
      <t>NCV</t>
    </r>
    <r>
      <rPr>
        <vertAlign val="subscript"/>
        <sz val="10"/>
        <color theme="0"/>
        <rFont val="Arial"/>
        <family val="2"/>
      </rPr>
      <t>biomass</t>
    </r>
  </si>
  <si>
    <t>IPCC (2006) (default value for wood fuel: 0.015 TJ/tonne)</t>
  </si>
  <si>
    <t>Hedon (2012): https://bit.ly/2PRs47H, also mentioned in Ghana case study – Growing
Inclusive Markets (UNDP, 2010) : https://bit.ly/2R8pYAs</t>
  </si>
  <si>
    <t>Internal assumption for ex-ante purposes</t>
  </si>
  <si>
    <t>Decrease in initial efficiency</t>
  </si>
  <si>
    <t>per year</t>
  </si>
  <si>
    <t>Assumption for ex-ante purposes only</t>
  </si>
  <si>
    <r>
      <t>m</t>
    </r>
    <r>
      <rPr>
        <b/>
        <vertAlign val="subscript"/>
        <sz val="10"/>
        <color theme="0"/>
        <rFont val="Arial"/>
        <family val="2"/>
      </rPr>
      <t>wood</t>
    </r>
    <r>
      <rPr>
        <b/>
        <sz val="10"/>
        <color theme="0"/>
        <rFont val="Arial"/>
        <family val="2"/>
      </rPr>
      <t xml:space="preserve"> / m</t>
    </r>
    <r>
      <rPr>
        <b/>
        <vertAlign val="subscript"/>
        <sz val="10"/>
        <color theme="0"/>
        <rFont val="Arial"/>
        <family val="2"/>
      </rPr>
      <t>charcoal</t>
    </r>
    <r>
      <rPr>
        <b/>
        <sz val="10"/>
        <color theme="0"/>
        <rFont val="Arial"/>
        <family val="2"/>
      </rPr>
      <t xml:space="preserve"> factor</t>
    </r>
  </si>
  <si>
    <t>AMS II.G.</t>
  </si>
  <si>
    <r>
      <t>B</t>
    </r>
    <r>
      <rPr>
        <b/>
        <vertAlign val="subscript"/>
        <sz val="10"/>
        <color indexed="63"/>
        <rFont val="Arial"/>
        <family val="2"/>
      </rPr>
      <t>old,HH</t>
    </r>
    <r>
      <rPr>
        <b/>
        <sz val="10"/>
        <color indexed="63"/>
        <rFont val="Arial"/>
        <family val="2"/>
      </rPr>
      <t xml:space="preserve"> = B</t>
    </r>
    <r>
      <rPr>
        <b/>
        <vertAlign val="subscript"/>
        <sz val="10"/>
        <color indexed="63"/>
        <rFont val="Arial"/>
        <family val="2"/>
      </rPr>
      <t>old,p</t>
    </r>
    <r>
      <rPr>
        <b/>
        <sz val="10"/>
        <color indexed="63"/>
        <rFont val="Arial"/>
        <family val="2"/>
      </rPr>
      <t xml:space="preserve"> * N</t>
    </r>
    <r>
      <rPr>
        <b/>
        <vertAlign val="subscript"/>
        <sz val="9"/>
        <color indexed="63"/>
        <rFont val="Arial"/>
        <family val="2"/>
      </rPr>
      <t>p,</t>
    </r>
    <r>
      <rPr>
        <b/>
        <vertAlign val="subscript"/>
        <sz val="10"/>
        <color indexed="63"/>
        <rFont val="Arial"/>
        <family val="2"/>
      </rPr>
      <t>HH</t>
    </r>
  </si>
  <si>
    <t>kg/HH/year</t>
  </si>
  <si>
    <t>FAO 2017</t>
  </si>
  <si>
    <r>
      <t>N</t>
    </r>
    <r>
      <rPr>
        <b/>
        <vertAlign val="subscript"/>
        <sz val="10"/>
        <color theme="0"/>
        <rFont val="Arial"/>
        <family val="2"/>
      </rPr>
      <t>p,HH</t>
    </r>
  </si>
  <si>
    <t>HH</t>
  </si>
  <si>
    <t>Ghana Statistical Service 2014</t>
  </si>
  <si>
    <r>
      <t>B</t>
    </r>
    <r>
      <rPr>
        <b/>
        <vertAlign val="subscript"/>
        <sz val="10"/>
        <color theme="0"/>
        <rFont val="Arial"/>
        <family val="2"/>
      </rPr>
      <t>old,HH</t>
    </r>
  </si>
  <si>
    <r>
      <t>B</t>
    </r>
    <r>
      <rPr>
        <b/>
        <vertAlign val="subscript"/>
        <sz val="10"/>
        <color indexed="63"/>
        <rFont val="Arial"/>
        <family val="2"/>
      </rPr>
      <t>old,i,j</t>
    </r>
    <r>
      <rPr>
        <b/>
        <sz val="10"/>
        <color indexed="63"/>
        <rFont val="Arial"/>
        <family val="2"/>
      </rPr>
      <t xml:space="preserve"> = B</t>
    </r>
    <r>
      <rPr>
        <b/>
        <vertAlign val="subscript"/>
        <sz val="10"/>
        <color indexed="63"/>
        <rFont val="Arial"/>
        <family val="2"/>
      </rPr>
      <t>old,HH</t>
    </r>
    <r>
      <rPr>
        <b/>
        <sz val="10"/>
        <color indexed="63"/>
        <rFont val="Arial"/>
        <family val="2"/>
      </rPr>
      <t xml:space="preserve"> / N</t>
    </r>
    <r>
      <rPr>
        <b/>
        <vertAlign val="subscript"/>
        <sz val="10"/>
        <color indexed="63"/>
        <rFont val="Arial"/>
        <family val="2"/>
      </rPr>
      <t>d,HH</t>
    </r>
    <r>
      <rPr>
        <b/>
        <sz val="10"/>
        <color indexed="63"/>
        <rFont val="Arial"/>
        <family val="2"/>
      </rPr>
      <t/>
    </r>
  </si>
  <si>
    <r>
      <t>N</t>
    </r>
    <r>
      <rPr>
        <b/>
        <vertAlign val="subscript"/>
        <sz val="10"/>
        <color theme="0"/>
        <rFont val="Arial"/>
        <family val="2"/>
      </rPr>
      <t>d,hh</t>
    </r>
    <r>
      <rPr>
        <b/>
        <sz val="10"/>
        <color theme="0"/>
        <rFont val="Arial"/>
        <family val="2"/>
      </rPr>
      <t xml:space="preserve"> </t>
    </r>
    <r>
      <rPr>
        <sz val="9"/>
        <color theme="0"/>
        <rFont val="Arial"/>
        <family val="2"/>
      </rPr>
      <t>(number of stoves per household)</t>
    </r>
  </si>
  <si>
    <r>
      <t>B</t>
    </r>
    <r>
      <rPr>
        <b/>
        <vertAlign val="subscript"/>
        <sz val="10"/>
        <color theme="0"/>
        <rFont val="Arial"/>
        <family val="2"/>
      </rPr>
      <t>old,l,j</t>
    </r>
  </si>
  <si>
    <r>
      <rPr>
        <b/>
        <sz val="16"/>
        <color indexed="9"/>
        <rFont val="Cambria"/>
        <family val="1"/>
      </rPr>
      <t xml:space="preserve"> </t>
    </r>
    <r>
      <rPr>
        <b/>
        <sz val="10"/>
        <color indexed="9"/>
        <rFont val="Arial"/>
        <family val="2"/>
      </rPr>
      <t>µ</t>
    </r>
    <r>
      <rPr>
        <b/>
        <vertAlign val="subscript"/>
        <sz val="10"/>
        <color indexed="9"/>
        <rFont val="Arial"/>
        <family val="2"/>
      </rPr>
      <t>y</t>
    </r>
    <r>
      <rPr>
        <b/>
        <sz val="10"/>
        <color indexed="9"/>
        <rFont val="Arial"/>
        <family val="2"/>
      </rPr>
      <t xml:space="preserve"> </t>
    </r>
    <r>
      <rPr>
        <sz val="9"/>
        <color indexed="9"/>
        <rFont val="Arial"/>
        <family val="2"/>
      </rPr>
      <t>(pre-project devices use)</t>
    </r>
  </si>
  <si>
    <t>Emission reductions (per stove)</t>
  </si>
  <si>
    <t>leakage considered</t>
  </si>
  <si>
    <r>
      <t>B</t>
    </r>
    <r>
      <rPr>
        <b/>
        <vertAlign val="subscript"/>
        <sz val="10"/>
        <color rgb="FF41515C"/>
        <rFont val="Arial"/>
        <family val="2"/>
      </rPr>
      <t xml:space="preserve">y,savings,i,j </t>
    </r>
    <r>
      <rPr>
        <b/>
        <sz val="10"/>
        <color rgb="FF41515C"/>
        <rFont val="Arial"/>
        <family val="2"/>
      </rPr>
      <t>= B</t>
    </r>
    <r>
      <rPr>
        <b/>
        <vertAlign val="subscript"/>
        <sz val="10"/>
        <color rgb="FF41515C"/>
        <rFont val="Arial"/>
        <family val="2"/>
      </rPr>
      <t>old,i,j</t>
    </r>
    <r>
      <rPr>
        <b/>
        <sz val="10"/>
        <color rgb="FF41515C"/>
        <rFont val="Arial"/>
        <family val="2"/>
      </rPr>
      <t xml:space="preserve"> * (1 - η</t>
    </r>
    <r>
      <rPr>
        <b/>
        <vertAlign val="subscript"/>
        <sz val="10"/>
        <color rgb="FF41515C"/>
        <rFont val="Arial"/>
        <family val="2"/>
      </rPr>
      <t>old,i,j</t>
    </r>
    <r>
      <rPr>
        <b/>
        <sz val="10"/>
        <color rgb="FF41515C"/>
        <rFont val="Arial"/>
        <family val="2"/>
      </rPr>
      <t>/η</t>
    </r>
    <r>
      <rPr>
        <b/>
        <vertAlign val="subscript"/>
        <sz val="10"/>
        <color rgb="FF41515C"/>
        <rFont val="Arial"/>
        <family val="2"/>
      </rPr>
      <t>new,i,j</t>
    </r>
    <r>
      <rPr>
        <b/>
        <sz val="10"/>
        <color rgb="FF41515C"/>
        <rFont val="Arial"/>
        <family val="2"/>
      </rPr>
      <t>)</t>
    </r>
  </si>
  <si>
    <t>ERy</t>
  </si>
  <si>
    <t>fNRB,y</t>
  </si>
  <si>
    <t>NCVbiomass</t>
  </si>
  <si>
    <t>EFprojected_fossilfuel</t>
  </si>
  <si>
    <t>By,savings</t>
  </si>
  <si>
    <t>ηold</t>
  </si>
  <si>
    <t>ηnew,y</t>
  </si>
  <si>
    <t>Bold,i,j</t>
  </si>
  <si>
    <t>Leakageadj</t>
  </si>
  <si>
    <t>Ny,i</t>
  </si>
  <si>
    <t xml:space="preserve"> µy</t>
  </si>
  <si>
    <t>pop_stoves,y</t>
  </si>
  <si>
    <t>Nd,HH</t>
  </si>
  <si>
    <t>Bold,HH</t>
  </si>
  <si>
    <t>tCO2e</t>
  </si>
  <si>
    <t>typical 1st year</t>
  </si>
  <si>
    <t>typical 2nd year</t>
  </si>
  <si>
    <t>typical 3rd year</t>
  </si>
  <si>
    <t>typical 4th year</t>
  </si>
  <si>
    <t>typical 5th year</t>
  </si>
  <si>
    <t>average values:</t>
  </si>
  <si>
    <t>CPA1-MP1</t>
  </si>
  <si>
    <t>CPA1-MP2</t>
  </si>
  <si>
    <t>CPA2-MP2</t>
  </si>
  <si>
    <t>2018 (&gt;12/11/18)</t>
  </si>
  <si>
    <t>12/11/2018 - Dec 2018</t>
  </si>
  <si>
    <r>
      <t xml:space="preserve"> stoves add/</t>
    </r>
    <r>
      <rPr>
        <i/>
        <sz val="10"/>
        <color theme="1"/>
        <rFont val="Arial"/>
        <family val="2"/>
      </rPr>
      <t>cumul</t>
    </r>
  </si>
  <si>
    <t>(1st y effective operational stoves)</t>
  </si>
  <si>
    <t xml:space="preserve">ECOEYE </t>
  </si>
  <si>
    <t>KOREA ZINC</t>
  </si>
  <si>
    <t>Expected Schedule</t>
    <phoneticPr fontId="50" type="noConversion"/>
  </si>
  <si>
    <t>(whole year add. stoves)</t>
  </si>
  <si>
    <t>ERs</t>
  </si>
  <si>
    <t>CER Issuance</t>
    <phoneticPr fontId="50" type="noConversion"/>
  </si>
  <si>
    <t>KOC Issuance</t>
    <phoneticPr fontId="50" type="noConversion"/>
  </si>
  <si>
    <t>Effective Nb of stoves CPA1</t>
  </si>
  <si>
    <t>Effective Nb of stoves CPA2</t>
  </si>
  <si>
    <t>Total Nb of stoves</t>
  </si>
  <si>
    <t>MP1</t>
  </si>
  <si>
    <t>30/11/2018 - 14/12/2018</t>
  </si>
  <si>
    <t>MP2</t>
  </si>
  <si>
    <t>14/12/2018 to 31/12/2019</t>
  </si>
  <si>
    <t>Agreement</t>
  </si>
  <si>
    <t>MP3</t>
  </si>
  <si>
    <t>01/01/2020 to June</t>
  </si>
  <si>
    <t>MP4</t>
  </si>
  <si>
    <t>July to 31/12/2020</t>
  </si>
  <si>
    <t>MP5</t>
  </si>
  <si>
    <t>01/01/2021 to June</t>
  </si>
  <si>
    <t>MP6..</t>
  </si>
  <si>
    <t>July to 31/12/2021</t>
  </si>
  <si>
    <t>01/01/2022 to June</t>
  </si>
  <si>
    <t>July to  31/12/2022</t>
  </si>
  <si>
    <t>01/01/2023 to June</t>
  </si>
  <si>
    <t>July to 31/12/2023</t>
  </si>
  <si>
    <t>01/01/2024 to June</t>
  </si>
  <si>
    <t>July to 31/12/2024</t>
  </si>
  <si>
    <t>01/01/2025 to 31/12/2025</t>
  </si>
  <si>
    <t>Ny,i,j average</t>
  </si>
  <si>
    <t>ANNUAL</t>
  </si>
  <si>
    <t>Oversampling</t>
  </si>
  <si>
    <t>2018 Batch</t>
  </si>
  <si>
    <t>Parameters</t>
  </si>
  <si>
    <t>Description</t>
  </si>
  <si>
    <t>level of confidence/precision</t>
  </si>
  <si>
    <t>z - values</t>
  </si>
  <si>
    <t>Size of the population of stoves considered for the monitoring session</t>
  </si>
  <si>
    <t>Expected proportion (p)</t>
  </si>
  <si>
    <t>Sample size before oversampling</t>
  </si>
  <si>
    <t>Sample size after oversampling</t>
  </si>
  <si>
    <r>
      <t>p</t>
    </r>
    <r>
      <rPr>
        <b/>
        <sz val="8"/>
        <rFont val="Times New Roman"/>
        <family val="1"/>
      </rPr>
      <t>op stoves,y</t>
    </r>
  </si>
  <si>
    <r>
      <t xml:space="preserve">Proportion of distributed ICS still operating or replaced by an equivalent in service appliance under similar conditions under the project activity in year </t>
    </r>
    <r>
      <rPr>
        <i/>
        <sz val="11"/>
        <color indexed="8"/>
        <rFont val="Times New Roman"/>
        <family val="1"/>
      </rPr>
      <t>y</t>
    </r>
  </si>
  <si>
    <t>90 / 10</t>
  </si>
  <si>
    <t>95 / 10</t>
  </si>
  <si>
    <t>µ,y (pre-project devices use)</t>
  </si>
  <si>
    <r>
      <t xml:space="preserve">Proportion of residual use of woody biomass from non-renewable sources under the project activity in year </t>
    </r>
    <r>
      <rPr>
        <i/>
        <sz val="11"/>
        <color indexed="8"/>
        <rFont val="Times New Roman"/>
        <family val="1"/>
      </rPr>
      <t>y</t>
    </r>
  </si>
  <si>
    <t>Standard Deviation and Mean</t>
  </si>
  <si>
    <t>Equation for V</t>
  </si>
  <si>
    <t>V</t>
  </si>
  <si>
    <r>
      <t>η</t>
    </r>
    <r>
      <rPr>
        <vertAlign val="subscript"/>
        <sz val="11"/>
        <color theme="1"/>
        <rFont val="Times New Roman"/>
        <family val="1"/>
      </rPr>
      <t xml:space="preserve">new,y </t>
    </r>
  </si>
  <si>
    <t>Efficiency of the device being deployed as part of the project activity in year y</t>
  </si>
  <si>
    <t>2019 Batch</t>
  </si>
  <si>
    <t>2020 Batch</t>
  </si>
  <si>
    <t>E</t>
  </si>
  <si>
    <t>Achieved relative precision at given confidence level of 90%</t>
  </si>
  <si>
    <t xml:space="preserve"> t (α/2) Student t Critical Values</t>
  </si>
  <si>
    <r>
      <t>s</t>
    </r>
    <r>
      <rPr>
        <b/>
        <vertAlign val="superscript"/>
        <sz val="10"/>
        <color theme="0"/>
        <rFont val="Arial"/>
        <family val="2"/>
      </rPr>
      <t>2</t>
    </r>
  </si>
  <si>
    <t>SE</t>
  </si>
  <si>
    <t>Achieved relative precision at given confidence level (p.94 Sampling Guideline)</t>
  </si>
  <si>
    <t>Where:</t>
  </si>
  <si>
    <t>Relative precision (e.g. 0.1 for 10% precision)</t>
  </si>
  <si>
    <t>t</t>
  </si>
  <si>
    <t xml:space="preserve">t value </t>
  </si>
  <si>
    <t>Standard error</t>
  </si>
  <si>
    <t>f</t>
  </si>
  <si>
    <t>sampling fraction (n/N)</t>
  </si>
  <si>
    <t>n</t>
  </si>
  <si>
    <t xml:space="preserve">Sample size </t>
  </si>
  <si>
    <t>p.94, sampling guidelines</t>
  </si>
  <si>
    <t>s²</t>
  </si>
  <si>
    <t>variance (square root of SD)</t>
  </si>
  <si>
    <t>(The ratio of the relative precision E to the mean reveals the precision value.)</t>
  </si>
  <si>
    <t>Nb of days</t>
  </si>
  <si>
    <t>EX ANTE Reduction</t>
  </si>
  <si>
    <t>REGISTERED VALUES</t>
  </si>
  <si>
    <t>CPA1</t>
  </si>
  <si>
    <t>CPA Start Date</t>
  </si>
  <si>
    <t>CPA End Date</t>
  </si>
  <si>
    <t>Nb of 2018 days</t>
  </si>
  <si>
    <t>Nb of 2019 days</t>
  </si>
  <si>
    <t>Nb of 2020 days</t>
  </si>
  <si>
    <t>Total Ex ante</t>
  </si>
  <si>
    <t>CPA2</t>
  </si>
  <si>
    <t>TOTAL EX ANTE</t>
  </si>
  <si>
    <t>survey date</t>
  </si>
  <si>
    <t>stove ID</t>
  </si>
  <si>
    <t>Name</t>
  </si>
  <si>
    <t>Other stove?</t>
  </si>
  <si>
    <t>Grievance or comments?</t>
  </si>
  <si>
    <t>Batch</t>
  </si>
  <si>
    <t>no</t>
  </si>
  <si>
    <t>yes</t>
  </si>
  <si>
    <t>Traditional coal pot</t>
  </si>
  <si>
    <t>Lucy Amoah</t>
  </si>
  <si>
    <t>Gas stove</t>
  </si>
  <si>
    <t>Three stone cooking fires</t>
  </si>
  <si>
    <t>Janet Awuah</t>
  </si>
  <si>
    <t>Alice Pomaa</t>
  </si>
  <si>
    <t>Mariam Mohammed</t>
  </si>
  <si>
    <t>Mary Ofori</t>
  </si>
  <si>
    <t>Lydia Antwi</t>
  </si>
  <si>
    <t>Esther Anima</t>
  </si>
  <si>
    <t>Jennifer Ferkaa</t>
  </si>
  <si>
    <t>Matilda Tamea</t>
  </si>
  <si>
    <t>Mean</t>
  </si>
  <si>
    <t>Ope_stove  average</t>
  </si>
  <si>
    <t>Batch average</t>
  </si>
  <si>
    <t>Sample size</t>
  </si>
  <si>
    <t>Total population size</t>
  </si>
  <si>
    <t>Required precision</t>
  </si>
  <si>
    <t>z-value at 90% confidence</t>
  </si>
  <si>
    <t>Confidence interval (+/-)</t>
  </si>
  <si>
    <t>Lower bound of the interval</t>
  </si>
  <si>
    <t>Lower bound of the interval (1-p)</t>
  </si>
  <si>
    <t>Higher bound of the interval</t>
  </si>
  <si>
    <t>Higher bound of the interval (1-p)</t>
  </si>
  <si>
    <t>Maximum error (precision)</t>
  </si>
  <si>
    <t>Sample monitoring precision</t>
  </si>
  <si>
    <t>Conclusion</t>
  </si>
  <si>
    <t>2018 batch</t>
  </si>
  <si>
    <t>2019 batch</t>
  </si>
  <si>
    <t>2020 batch</t>
  </si>
  <si>
    <t>WBT number</t>
  </si>
  <si>
    <t>CPA1 2018 age-group</t>
  </si>
  <si>
    <t>efficiency %</t>
  </si>
  <si>
    <t>CPA1 2019 age-group</t>
  </si>
  <si>
    <t>CPA1 2020 age-group</t>
  </si>
  <si>
    <t>CPA1 2018 Age group</t>
  </si>
  <si>
    <t>CPA1 2019 Age group</t>
  </si>
  <si>
    <t>CPA1 2020 Age group</t>
  </si>
  <si>
    <t>average efficiency</t>
  </si>
  <si>
    <t>Standard deviation</t>
  </si>
  <si>
    <t>t-value at 90% confidence</t>
  </si>
  <si>
    <t>Sample precision</t>
  </si>
  <si>
    <t>Stoves' age</t>
  </si>
  <si>
    <t>Purchase year</t>
  </si>
  <si>
    <t>Number of stoves sold</t>
  </si>
  <si>
    <t>Efficiency</t>
  </si>
  <si>
    <t>4th year</t>
  </si>
  <si>
    <t>3rd year</t>
  </si>
  <si>
    <t>2nd year</t>
  </si>
  <si>
    <t>CPA1 vintage-weighted efficiency</t>
  </si>
  <si>
    <t>Test 1</t>
  </si>
  <si>
    <t>Test 2</t>
  </si>
  <si>
    <t>Test 3</t>
  </si>
  <si>
    <t>Due to the heavy weight of the tabs listing the different users of the ICS, these databases appear in a separate Excel file.
 Here are the main figures resulting from the analysis of this database</t>
  </si>
  <si>
    <t>For every change on the database, these figures must be updated in the ER calculation file.</t>
  </si>
  <si>
    <t>CPA001:</t>
  </si>
  <si>
    <t>Parameter</t>
  </si>
  <si>
    <t>Unit</t>
  </si>
  <si>
    <t>Nb of stoves sold for this CPA</t>
  </si>
  <si>
    <t>stoves</t>
  </si>
  <si>
    <t>Nb of 2018 stoves</t>
  </si>
  <si>
    <t>Nb of 2019 stoves</t>
  </si>
  <si>
    <t>Nb of 2020 stoves</t>
  </si>
  <si>
    <t>Nb of 2021+ stoves</t>
  </si>
  <si>
    <t>Nb of household users, as per name &amp; address/town</t>
  </si>
  <si>
    <t>household users</t>
  </si>
  <si>
    <t>First stove sales date:</t>
  </si>
  <si>
    <t>batches</t>
  </si>
  <si>
    <t>CPA1 pop</t>
  </si>
  <si>
    <t>2018-2019</t>
  </si>
  <si>
    <t>2019-2020</t>
  </si>
  <si>
    <t>2020-2021</t>
  </si>
  <si>
    <t>WBTs from CPA1</t>
  </si>
  <si>
    <t>01/06/2022 - 31/12/2022</t>
  </si>
  <si>
    <t>batch</t>
  </si>
  <si>
    <t>population</t>
  </si>
  <si>
    <t xml:space="preserve">sample size </t>
  </si>
  <si>
    <t>Oversampled size</t>
  </si>
  <si>
    <t>required purchase date</t>
  </si>
  <si>
    <t>04/06/2018 - 03/06/2019</t>
  </si>
  <si>
    <t>04/06/2019 - 03/06/2020</t>
  </si>
  <si>
    <t>04/06/2020 - 03/06/2021</t>
  </si>
  <si>
    <t>surveyor name</t>
  </si>
  <si>
    <t>Adress</t>
  </si>
  <si>
    <t>telephone number</t>
  </si>
  <si>
    <t>number of people in the household</t>
  </si>
  <si>
    <t>Purchase date</t>
  </si>
  <si>
    <t>stove used recently ?</t>
  </si>
  <si>
    <t>stove working ?</t>
  </si>
  <si>
    <t>Number of Man&amp;Man stove</t>
  </si>
  <si>
    <t>if yes, type</t>
  </si>
  <si>
    <t>M&amp;M frequency per day</t>
  </si>
  <si>
    <t>other stove frequency per day</t>
  </si>
  <si>
    <t>was this stove sampled for testing ?</t>
  </si>
  <si>
    <t>Less smoke ?</t>
  </si>
  <si>
    <t>Money savings?</t>
  </si>
  <si>
    <t>Mahama Mohammed</t>
  </si>
  <si>
    <t>Sister Akos</t>
  </si>
  <si>
    <t>Berekum</t>
  </si>
  <si>
    <t>0598208174</t>
  </si>
  <si>
    <t>cdm15381</t>
  </si>
  <si>
    <t>Raphael Agyei Sarkodie</t>
  </si>
  <si>
    <t>Sakina Yaya</t>
  </si>
  <si>
    <t>Techiman</t>
  </si>
  <si>
    <t>0245437171</t>
  </si>
  <si>
    <t>cdm13649</t>
  </si>
  <si>
    <t>Ibrahim Alhassan</t>
  </si>
  <si>
    <t>Juana Boatemaa</t>
  </si>
  <si>
    <t>Berekum Kato</t>
  </si>
  <si>
    <t>0541522637</t>
  </si>
  <si>
    <t>cdm12461</t>
  </si>
  <si>
    <t>Three stone cooking fire</t>
  </si>
  <si>
    <t>Stove replacement for end user</t>
  </si>
  <si>
    <t>Mary Krumah Ama</t>
  </si>
  <si>
    <t>0599976912</t>
  </si>
  <si>
    <t>cdm17187</t>
  </si>
  <si>
    <t>Nicholas Frimpong</t>
  </si>
  <si>
    <t>Grace Amele</t>
  </si>
  <si>
    <t>Yawhima</t>
  </si>
  <si>
    <t>0591711153</t>
  </si>
  <si>
    <t>cdm19100</t>
  </si>
  <si>
    <t>Odumasi</t>
  </si>
  <si>
    <t>0277579462</t>
  </si>
  <si>
    <t>cdm17777</t>
  </si>
  <si>
    <t>Asana Seidu</t>
  </si>
  <si>
    <t>sunyani Chiraa</t>
  </si>
  <si>
    <t>0547705303</t>
  </si>
  <si>
    <t>cdm23567</t>
  </si>
  <si>
    <t>Traditional coal pot/ Three stone cooking fires</t>
  </si>
  <si>
    <t>Yaa Afrakoma</t>
  </si>
  <si>
    <t>0542094188</t>
  </si>
  <si>
    <t>cdm19232</t>
  </si>
  <si>
    <t>Sheet beneath stove  not strong</t>
  </si>
  <si>
    <t>Yaa Owusuwaa</t>
  </si>
  <si>
    <t>Fiapre</t>
  </si>
  <si>
    <t>0556265181</t>
  </si>
  <si>
    <t>cdm20416</t>
  </si>
  <si>
    <t>There stone cooking fires</t>
  </si>
  <si>
    <t>Mahama Mohamamed</t>
  </si>
  <si>
    <t>Agyeiwaa Martha</t>
  </si>
  <si>
    <t xml:space="preserve">Berekum </t>
  </si>
  <si>
    <t>0246468747</t>
  </si>
  <si>
    <t>cdm6770</t>
  </si>
  <si>
    <t>Karim Sata</t>
  </si>
  <si>
    <t>Sunyani new Dormaa</t>
  </si>
  <si>
    <t>0550962443</t>
  </si>
  <si>
    <t>cdm4875</t>
  </si>
  <si>
    <t>Functions well</t>
  </si>
  <si>
    <t>Fatemata</t>
  </si>
  <si>
    <t xml:space="preserve">Sunyani </t>
  </si>
  <si>
    <t>0543220137</t>
  </si>
  <si>
    <t>cdm32483</t>
  </si>
  <si>
    <t>Traditional coal pot/Three stone cooking fires</t>
  </si>
  <si>
    <t>Stove replacement for primary cook</t>
  </si>
  <si>
    <t>Yeboah Martha</t>
  </si>
  <si>
    <t>0206431566</t>
  </si>
  <si>
    <t>cdm9123</t>
  </si>
  <si>
    <t>Works well</t>
  </si>
  <si>
    <t>Yaa Kosei</t>
  </si>
  <si>
    <t>Sunyani Zongo</t>
  </si>
  <si>
    <t>0550328808</t>
  </si>
  <si>
    <t>cdm6032</t>
  </si>
  <si>
    <t>Alima Abdalla</t>
  </si>
  <si>
    <t>Wenchi</t>
  </si>
  <si>
    <t>0243182041</t>
  </si>
  <si>
    <t>cdm6277</t>
  </si>
  <si>
    <t>Traditional coal pot, Three stone cooking fires</t>
  </si>
  <si>
    <t>Ataa Yaa</t>
  </si>
  <si>
    <t>0203716300</t>
  </si>
  <si>
    <t>cdm1253</t>
  </si>
  <si>
    <t>Traditional coal pot, gas stove</t>
  </si>
  <si>
    <t>Constance Gyan</t>
  </si>
  <si>
    <t>Sunyani Nkwabeng South</t>
  </si>
  <si>
    <t>0505016968</t>
  </si>
  <si>
    <t>cdm1444</t>
  </si>
  <si>
    <t>Janet Henewaa</t>
  </si>
  <si>
    <t>Sunyani Newtown</t>
  </si>
  <si>
    <t>0546660674</t>
  </si>
  <si>
    <t>cdm2007</t>
  </si>
  <si>
    <t>Adiza Isaka</t>
  </si>
  <si>
    <t>Sunyani Nkwabeng</t>
  </si>
  <si>
    <t>0596887071</t>
  </si>
  <si>
    <t>cdm91</t>
  </si>
  <si>
    <t>Elizabeth Mansah</t>
  </si>
  <si>
    <t>0553291773</t>
  </si>
  <si>
    <t>cdm2003</t>
  </si>
  <si>
    <t>Owusuwaa Diana</t>
  </si>
  <si>
    <t>0209745539</t>
  </si>
  <si>
    <t>cdm2938</t>
  </si>
  <si>
    <t>Forson Susuna Esi</t>
  </si>
  <si>
    <t>Sunyani Area 4</t>
  </si>
  <si>
    <t>0209129388</t>
  </si>
  <si>
    <t>cdm1463</t>
  </si>
  <si>
    <t>Lydia Tetteh</t>
  </si>
  <si>
    <t>0559281996</t>
  </si>
  <si>
    <t>cdm2084</t>
  </si>
  <si>
    <t>Sister Theresah</t>
  </si>
  <si>
    <t>Chiraa</t>
  </si>
  <si>
    <t>0540982503</t>
  </si>
  <si>
    <t>cdm3130</t>
  </si>
  <si>
    <t>Fuseina Duada</t>
  </si>
  <si>
    <t>0207484996</t>
  </si>
  <si>
    <t>cdm31082</t>
  </si>
  <si>
    <t>Janet Febiri</t>
  </si>
  <si>
    <t>0241169387</t>
  </si>
  <si>
    <t>cdm27561</t>
  </si>
  <si>
    <t>traditional coal pot/gas stove</t>
  </si>
  <si>
    <t>Georgina Kyeraa</t>
  </si>
  <si>
    <t>Berekum Jinijini</t>
  </si>
  <si>
    <t>0243246128</t>
  </si>
  <si>
    <t>cdm27031</t>
  </si>
  <si>
    <t>Boateng Doris</t>
  </si>
  <si>
    <t>Penkwase</t>
  </si>
  <si>
    <t>0244795372</t>
  </si>
  <si>
    <t>cdm11017</t>
  </si>
  <si>
    <t>0203479138</t>
  </si>
  <si>
    <t>cdm11493</t>
  </si>
  <si>
    <t>Kumson Dora</t>
  </si>
  <si>
    <t>0554593057</t>
  </si>
  <si>
    <t>cdm6740</t>
  </si>
  <si>
    <t>traditional coal pot</t>
  </si>
  <si>
    <t>Beatrice Amankwah</t>
  </si>
  <si>
    <t>Abesim</t>
  </si>
  <si>
    <t>0544253653</t>
  </si>
  <si>
    <t>cdm43818</t>
  </si>
  <si>
    <t>Cecilia Kyeremaa</t>
  </si>
  <si>
    <t>Techiman Wangala line</t>
  </si>
  <si>
    <t>0556074079</t>
  </si>
  <si>
    <t>cdm39375</t>
  </si>
  <si>
    <t>Rafiah Mohammed</t>
  </si>
  <si>
    <t>Techiman dagomba line</t>
  </si>
  <si>
    <t>0592583192</t>
  </si>
  <si>
    <t>cdm43026</t>
  </si>
  <si>
    <t>Fati Moro</t>
  </si>
  <si>
    <t>0248476372</t>
  </si>
  <si>
    <t>cdm43935</t>
  </si>
  <si>
    <t>Kumi Annah</t>
  </si>
  <si>
    <t>0247155524</t>
  </si>
  <si>
    <t>2m4971</t>
  </si>
  <si>
    <t>Comfort Nyarko</t>
  </si>
  <si>
    <t>0208713961</t>
  </si>
  <si>
    <t>cdm26228</t>
  </si>
  <si>
    <t>Handle of stove is weak</t>
  </si>
  <si>
    <t>Mary Vivian</t>
  </si>
  <si>
    <t>Wenchi Zongo</t>
  </si>
  <si>
    <t>0246031939</t>
  </si>
  <si>
    <t>cdm43317</t>
  </si>
  <si>
    <t>Boevi Janet</t>
  </si>
  <si>
    <t>Sunyani</t>
  </si>
  <si>
    <t>0553579291</t>
  </si>
  <si>
    <t>cdm 17307</t>
  </si>
  <si>
    <t>Adwoa Dufie</t>
  </si>
  <si>
    <t>0246363081</t>
  </si>
  <si>
    <t>cdm26486</t>
  </si>
  <si>
    <t>Amina Constance</t>
  </si>
  <si>
    <t>0596237826</t>
  </si>
  <si>
    <t>cdm36143</t>
  </si>
  <si>
    <t>Joyce Yeboah</t>
  </si>
  <si>
    <t>0246252567</t>
  </si>
  <si>
    <t>cdm28034</t>
  </si>
  <si>
    <t>Patricia Saah</t>
  </si>
  <si>
    <t>0242825000</t>
  </si>
  <si>
    <t>cdm31447</t>
  </si>
  <si>
    <t>Juliana Birago</t>
  </si>
  <si>
    <t>0592377192</t>
  </si>
  <si>
    <t>cdm 31436</t>
  </si>
  <si>
    <t>Rashida Fuseini</t>
  </si>
  <si>
    <t>0559681801</t>
  </si>
  <si>
    <t>cdm33255</t>
  </si>
  <si>
    <t>Ellen Achiaa</t>
  </si>
  <si>
    <t>0594548110</t>
  </si>
  <si>
    <t>cdm33252</t>
  </si>
  <si>
    <t>Agnes Twumasi</t>
  </si>
  <si>
    <t>0559350212</t>
  </si>
  <si>
    <t>cdm31469</t>
  </si>
  <si>
    <t>Traditional Coal pot</t>
  </si>
  <si>
    <t>Grace Tafuwaa</t>
  </si>
  <si>
    <t>0243381739</t>
  </si>
  <si>
    <t>cdm23670</t>
  </si>
  <si>
    <t>Serwaa Agyemang</t>
  </si>
  <si>
    <t>0247980197</t>
  </si>
  <si>
    <t>cdm26680</t>
  </si>
  <si>
    <t>Yaa Dunko</t>
  </si>
  <si>
    <t>0594908428</t>
  </si>
  <si>
    <t>cdm25767</t>
  </si>
  <si>
    <t>Salamatu Musah</t>
  </si>
  <si>
    <t>0246482282</t>
  </si>
  <si>
    <t>cdm24396</t>
  </si>
  <si>
    <t>Owusuwaa Abigail</t>
  </si>
  <si>
    <t>0249432241</t>
  </si>
  <si>
    <t>cdm24755</t>
  </si>
  <si>
    <t>Afia Naomi</t>
  </si>
  <si>
    <t>0245479957</t>
  </si>
  <si>
    <t>cdm27400</t>
  </si>
  <si>
    <t>Kumi  A kosua Rosemary</t>
  </si>
  <si>
    <t>0256978129</t>
  </si>
  <si>
    <t>cdm25068</t>
  </si>
  <si>
    <t>Likes the stove</t>
  </si>
  <si>
    <t>Vida Nyarko</t>
  </si>
  <si>
    <t>0247310001</t>
  </si>
  <si>
    <t>cdm12878</t>
  </si>
  <si>
    <t>Ama Achiaa</t>
  </si>
  <si>
    <t>0591025798</t>
  </si>
  <si>
    <t>cdm16921</t>
  </si>
  <si>
    <t>Anane Joyce</t>
  </si>
  <si>
    <t>0557284718</t>
  </si>
  <si>
    <t>cdm15650</t>
  </si>
  <si>
    <t>Alice Bonisuo</t>
  </si>
  <si>
    <t>0242754609</t>
  </si>
  <si>
    <t>cdm10502</t>
  </si>
  <si>
    <t>Asantewaa Salomey</t>
  </si>
  <si>
    <t>0558771256</t>
  </si>
  <si>
    <t>cdm4750</t>
  </si>
  <si>
    <t>Henewaa Janet</t>
  </si>
  <si>
    <t>0248946149</t>
  </si>
  <si>
    <t>cdm7247</t>
  </si>
  <si>
    <t>Three stone cooking fires/Gas stove</t>
  </si>
  <si>
    <t>Akua Boatemaa</t>
  </si>
  <si>
    <t>0246049379</t>
  </si>
  <si>
    <t>cdm6148</t>
  </si>
  <si>
    <t>Rebecca Amponsah</t>
  </si>
  <si>
    <t>0552918951</t>
  </si>
  <si>
    <t>cdm5854</t>
  </si>
  <si>
    <t>Nana Akwamhehe</t>
  </si>
  <si>
    <t>0245380435</t>
  </si>
  <si>
    <t>cdm7342</t>
  </si>
  <si>
    <t>three stone cooking fires</t>
  </si>
  <si>
    <t>Anna Kyeraa</t>
  </si>
  <si>
    <t>0547802271</t>
  </si>
  <si>
    <t>cdm7986</t>
  </si>
  <si>
    <t>Anna Asana</t>
  </si>
  <si>
    <t>0541523060</t>
  </si>
  <si>
    <t>cdm5924</t>
  </si>
  <si>
    <t>Afia Mansah</t>
  </si>
  <si>
    <t>0502791114</t>
  </si>
  <si>
    <t>cdm2727</t>
  </si>
  <si>
    <t>Sekyeraa Cecilia</t>
  </si>
  <si>
    <t>0546675789</t>
  </si>
  <si>
    <t>cdm2553</t>
  </si>
  <si>
    <t>Mary Pokuaa</t>
  </si>
  <si>
    <t>0240908553</t>
  </si>
  <si>
    <t>cdm1527</t>
  </si>
  <si>
    <t>Abdulai Memuna</t>
  </si>
  <si>
    <t>0241841902</t>
  </si>
  <si>
    <t>cdm1782</t>
  </si>
  <si>
    <t>Alhassan Ayisah</t>
  </si>
  <si>
    <t>0257683882</t>
  </si>
  <si>
    <t>cdm613</t>
  </si>
  <si>
    <t>Mariam Osei</t>
  </si>
  <si>
    <t>0249893891</t>
  </si>
  <si>
    <t>cdm13787</t>
  </si>
  <si>
    <t>Konadu Naomi</t>
  </si>
  <si>
    <t>Sunyani Kotokrom</t>
  </si>
  <si>
    <t>0540648749</t>
  </si>
  <si>
    <t>2m25743</t>
  </si>
  <si>
    <t>Barikisu Yahaya</t>
  </si>
  <si>
    <t>0549719304</t>
  </si>
  <si>
    <t>2m26056</t>
  </si>
  <si>
    <t>tradtional coal pot/Gas stove</t>
  </si>
  <si>
    <t>The central joining is not strong, my stove has disjointed</t>
  </si>
  <si>
    <t>Nafisa Musah</t>
  </si>
  <si>
    <t>Sunyani Nkwaben</t>
  </si>
  <si>
    <t>0596291020</t>
  </si>
  <si>
    <t>2m28729</t>
  </si>
  <si>
    <t>Apawu Evelyn</t>
  </si>
  <si>
    <t>0595490850</t>
  </si>
  <si>
    <t>2m26768</t>
  </si>
  <si>
    <t xml:space="preserve">The ashes does not mess my kitchen up </t>
  </si>
  <si>
    <t>Mahama mohammed</t>
  </si>
  <si>
    <t>Konadu Evelyn</t>
  </si>
  <si>
    <t>0546193116</t>
  </si>
  <si>
    <t>3m15353</t>
  </si>
  <si>
    <t>Kande Nuhu</t>
  </si>
  <si>
    <t>0553227750</t>
  </si>
  <si>
    <t>2m29679</t>
  </si>
  <si>
    <t>The handle is not strong enough to hold or to handle, it has removed already.</t>
  </si>
  <si>
    <t>Amponsah</t>
  </si>
  <si>
    <t>Wenchi Nkonsia</t>
  </si>
  <si>
    <t>0599287308</t>
  </si>
  <si>
    <t>3m27693</t>
  </si>
  <si>
    <t>traditional coal pot / three stone fires</t>
  </si>
  <si>
    <t>The holes in the liner is small for air to penetrate so I have to fan for while before my food can boil.</t>
  </si>
  <si>
    <t>Seidu Memuna</t>
  </si>
  <si>
    <t>2m29319</t>
  </si>
  <si>
    <t>Ellen Asantewaa</t>
  </si>
  <si>
    <t>0541732543</t>
  </si>
  <si>
    <t>2m28132</t>
  </si>
  <si>
    <t>Yaa Frema</t>
  </si>
  <si>
    <t>0247441344</t>
  </si>
  <si>
    <t>2m28641</t>
  </si>
  <si>
    <t>It does not burn children when it is heated/hot unlike the traditional coalpot so I can use it anytime.</t>
  </si>
  <si>
    <t>Agyeiwaa Theresah</t>
  </si>
  <si>
    <t>0545773492</t>
  </si>
  <si>
    <t>2m36049</t>
  </si>
  <si>
    <t>She had two, one was damaged so it was replced</t>
  </si>
  <si>
    <t>Salidu Seidu</t>
  </si>
  <si>
    <t>0591210333</t>
  </si>
  <si>
    <t>2m28984</t>
  </si>
  <si>
    <t>Amina musah</t>
  </si>
  <si>
    <t>0547528596</t>
  </si>
  <si>
    <t>3m5528</t>
  </si>
  <si>
    <t>The cost on charcoal is less even I buy GHC2.00 charcoal, I can use it morning to evening.</t>
  </si>
  <si>
    <t>Erica Agyeiwaa</t>
  </si>
  <si>
    <t>0543329469</t>
  </si>
  <si>
    <t>2m26992</t>
  </si>
  <si>
    <t>Salamtatu Tahiru</t>
  </si>
  <si>
    <t>0203621433</t>
  </si>
  <si>
    <t>2m28001</t>
  </si>
  <si>
    <t>Mahama Mahammed</t>
  </si>
  <si>
    <t>Bintu</t>
  </si>
  <si>
    <t>0245706772</t>
  </si>
  <si>
    <t>2m28752</t>
  </si>
  <si>
    <t>Fati Alhassan</t>
  </si>
  <si>
    <t>0593308748</t>
  </si>
  <si>
    <t>2m21963</t>
  </si>
  <si>
    <t>Felicity Anomale</t>
  </si>
  <si>
    <t>0246073731</t>
  </si>
  <si>
    <t>3m12240</t>
  </si>
  <si>
    <t>Rebecca Aquah</t>
  </si>
  <si>
    <t>Kenyase</t>
  </si>
  <si>
    <t>0247282144</t>
  </si>
  <si>
    <t>2m1174</t>
  </si>
  <si>
    <t>Rukaya Hamidu</t>
  </si>
  <si>
    <t>0246089544</t>
  </si>
  <si>
    <t>2m34182</t>
  </si>
  <si>
    <t>Ajara Mumuni</t>
  </si>
  <si>
    <t>0249966806</t>
  </si>
  <si>
    <t>3m311</t>
  </si>
  <si>
    <t>Mary Awuni</t>
  </si>
  <si>
    <t>0542582369</t>
  </si>
  <si>
    <t>3m14156</t>
  </si>
  <si>
    <t>Ibrahim Ajara</t>
  </si>
  <si>
    <t>0240868800</t>
  </si>
  <si>
    <t>2m30887</t>
  </si>
  <si>
    <t>Stella Tawiaa</t>
  </si>
  <si>
    <t>Techiman Kato</t>
  </si>
  <si>
    <t>0243591329</t>
  </si>
  <si>
    <t>2m7209</t>
  </si>
  <si>
    <t>The stove was not in use so it was replaced</t>
  </si>
  <si>
    <t>Esi Nyarko</t>
  </si>
  <si>
    <t>0507435045</t>
  </si>
  <si>
    <t>3m11993</t>
  </si>
  <si>
    <t>Sharifatu Mohammed</t>
  </si>
  <si>
    <t>Ntotroso</t>
  </si>
  <si>
    <t>0246964953</t>
  </si>
  <si>
    <t>3m3120</t>
  </si>
  <si>
    <t>Issifu Fatima</t>
  </si>
  <si>
    <t>0244667271</t>
  </si>
  <si>
    <t>3m14098</t>
  </si>
  <si>
    <t>Abena Kyerewaa</t>
  </si>
  <si>
    <t>0205107395</t>
  </si>
  <si>
    <t>3m3983</t>
  </si>
  <si>
    <t>Faustina Noudoh</t>
  </si>
  <si>
    <t>0241161147</t>
  </si>
  <si>
    <t>3M7529</t>
  </si>
  <si>
    <t>Georgina Oppong</t>
  </si>
  <si>
    <t>0243329900</t>
  </si>
  <si>
    <t>3m4019</t>
  </si>
  <si>
    <t>Fati Ibrahim</t>
  </si>
  <si>
    <t>0543282011</t>
  </si>
  <si>
    <t>2m33501</t>
  </si>
  <si>
    <t>Margarte Aseidu</t>
  </si>
  <si>
    <t>0207483816</t>
  </si>
  <si>
    <t>3m14336</t>
  </si>
  <si>
    <t>Theresa Anima</t>
  </si>
  <si>
    <t>0597320191</t>
  </si>
  <si>
    <t>3m4734</t>
  </si>
  <si>
    <t>Agnes Gyabaah</t>
  </si>
  <si>
    <t>0549685969</t>
  </si>
  <si>
    <t>3m10916</t>
  </si>
  <si>
    <t>Regina Aduako</t>
  </si>
  <si>
    <t>0548364803</t>
  </si>
  <si>
    <t>3m11317</t>
  </si>
  <si>
    <t>Fatima Moro</t>
  </si>
  <si>
    <t>0546991824</t>
  </si>
  <si>
    <t>3m36355</t>
  </si>
  <si>
    <t>Elizabeth Gyamaa</t>
  </si>
  <si>
    <t>0503336552</t>
  </si>
  <si>
    <t>3m42331</t>
  </si>
  <si>
    <t>Grace Akrugu</t>
  </si>
  <si>
    <t>0558429970</t>
  </si>
  <si>
    <t>2m52941</t>
  </si>
  <si>
    <t>Juliana Werekowaa</t>
  </si>
  <si>
    <t>0201517131</t>
  </si>
  <si>
    <t>2m1622</t>
  </si>
  <si>
    <t>Traditional coal pot /gas stove</t>
  </si>
  <si>
    <t>Ohenewaa Comfort</t>
  </si>
  <si>
    <t>0540282042</t>
  </si>
  <si>
    <t>2m2696</t>
  </si>
  <si>
    <t>Francisca Tabuaa</t>
  </si>
  <si>
    <t>0541706564</t>
  </si>
  <si>
    <t>2m3018</t>
  </si>
  <si>
    <t>0207978168</t>
  </si>
  <si>
    <t>2m10888</t>
  </si>
  <si>
    <t>Yeboah Naomi</t>
  </si>
  <si>
    <t>Techiman tako</t>
  </si>
  <si>
    <t>0558613939</t>
  </si>
  <si>
    <t>3m11842</t>
  </si>
  <si>
    <t>Cecilia Frimpomaa</t>
  </si>
  <si>
    <t>0247997277</t>
  </si>
  <si>
    <t>2m1770</t>
  </si>
  <si>
    <t>Augustina Ayigogo</t>
  </si>
  <si>
    <t>0547069948</t>
  </si>
  <si>
    <t>2m6250</t>
  </si>
  <si>
    <t>I have used the stove for a while now and have not experience anything bad concerning this stove. It works well</t>
  </si>
  <si>
    <t>Paulin Nyanta</t>
  </si>
  <si>
    <t>0240629406</t>
  </si>
  <si>
    <t>3m18142</t>
  </si>
  <si>
    <t>traditional caol pot</t>
  </si>
  <si>
    <t>Salamatu Alhassan</t>
  </si>
  <si>
    <t>0546787442</t>
  </si>
  <si>
    <t>3m19260</t>
  </si>
  <si>
    <t>Florence Gyamfuaa</t>
  </si>
  <si>
    <t>0544477738</t>
  </si>
  <si>
    <t>3m20342</t>
  </si>
  <si>
    <t>Pokuaa Joyce</t>
  </si>
  <si>
    <t>0545590880</t>
  </si>
  <si>
    <t>3m32018</t>
  </si>
  <si>
    <t>Vivinan Derry</t>
  </si>
  <si>
    <t>0542256634</t>
  </si>
  <si>
    <t>3m23205</t>
  </si>
  <si>
    <t>Hawa Yakobo</t>
  </si>
  <si>
    <t>0553093900</t>
  </si>
  <si>
    <t>2m21595</t>
  </si>
  <si>
    <t>Jamila Musah</t>
  </si>
  <si>
    <t>Sunyani Nkwaben south</t>
  </si>
  <si>
    <t>0209492584</t>
  </si>
  <si>
    <t>3m26148</t>
  </si>
  <si>
    <t>Achiaa Patricia</t>
  </si>
  <si>
    <t>Nsoatre</t>
  </si>
  <si>
    <t>0550963066</t>
  </si>
  <si>
    <t>3m24296</t>
  </si>
  <si>
    <t>traditional caol pot / three stone cooking fires</t>
  </si>
  <si>
    <t>Olivia Ataa Bintu</t>
  </si>
  <si>
    <t>0548587990</t>
  </si>
  <si>
    <t>3m17166</t>
  </si>
  <si>
    <t>Francisca Anima</t>
  </si>
  <si>
    <t>0549126940</t>
  </si>
  <si>
    <t>3m28866</t>
  </si>
  <si>
    <t>Sekyeraa Stella</t>
  </si>
  <si>
    <t>0246349415</t>
  </si>
  <si>
    <t>3m7200</t>
  </si>
  <si>
    <t>Selina Donkor</t>
  </si>
  <si>
    <t>0242875984</t>
  </si>
  <si>
    <t>3M24281</t>
  </si>
  <si>
    <t>It is really effective</t>
  </si>
  <si>
    <t>Faustina Sego</t>
  </si>
  <si>
    <t>Fiapre Zongo</t>
  </si>
  <si>
    <t>0547820806</t>
  </si>
  <si>
    <t>3m41768</t>
  </si>
  <si>
    <t>Asamuwo Mumuni</t>
  </si>
  <si>
    <t>0551745299</t>
  </si>
  <si>
    <t>2m27712</t>
  </si>
  <si>
    <t>Amponsah Patience</t>
  </si>
  <si>
    <t>0554053700</t>
  </si>
  <si>
    <t>3m31234</t>
  </si>
  <si>
    <t>tarditional coal pot/gas stove</t>
  </si>
  <si>
    <t>Vida Keremaa</t>
  </si>
  <si>
    <t>0599070588</t>
  </si>
  <si>
    <t>2m24495</t>
  </si>
  <si>
    <t>Safia Abubarkar</t>
  </si>
  <si>
    <t>0276436088</t>
  </si>
  <si>
    <t>2m23836</t>
  </si>
  <si>
    <t>Safia Issah</t>
  </si>
  <si>
    <t>0241793673</t>
  </si>
  <si>
    <t>2m27648</t>
  </si>
  <si>
    <t>Ama Grace</t>
  </si>
  <si>
    <t>0550482741</t>
  </si>
  <si>
    <t>2m14227</t>
  </si>
  <si>
    <t>Haniya Ali</t>
  </si>
  <si>
    <t>2m26488</t>
  </si>
  <si>
    <t>0596607992</t>
  </si>
  <si>
    <t>2m30066</t>
  </si>
  <si>
    <t>Akosua Lydia</t>
  </si>
  <si>
    <t>0551405275</t>
  </si>
  <si>
    <t>2m25924</t>
  </si>
  <si>
    <t>Grace Appiah</t>
  </si>
  <si>
    <t>0242760197</t>
  </si>
  <si>
    <t>2m26545</t>
  </si>
  <si>
    <t>Amama Abdulai</t>
  </si>
  <si>
    <t>0245207096</t>
  </si>
  <si>
    <t>2m29521</t>
  </si>
  <si>
    <t>Mary Yeboaa</t>
  </si>
  <si>
    <t>0249526734</t>
  </si>
  <si>
    <t>2m6319</t>
  </si>
  <si>
    <t>Three stone cooking fire/Gas stove</t>
  </si>
  <si>
    <t>Seth Obiri Gyaw  Boama</t>
  </si>
  <si>
    <t>0243716391</t>
  </si>
  <si>
    <t>4m57333</t>
  </si>
  <si>
    <t>Traditional coal pot/ gas stove</t>
  </si>
  <si>
    <t>Dorcas Serwaa</t>
  </si>
  <si>
    <t>0554696485</t>
  </si>
  <si>
    <t>4m426</t>
  </si>
  <si>
    <t>three cooking fires</t>
  </si>
  <si>
    <t>Lydia Agyei</t>
  </si>
  <si>
    <t>0274064696</t>
  </si>
  <si>
    <t>4m72459</t>
  </si>
  <si>
    <t>Memunatu Abdul Aziz</t>
  </si>
  <si>
    <t>0557212866</t>
  </si>
  <si>
    <t>4m71901</t>
  </si>
  <si>
    <t>Doris Yeboah</t>
  </si>
  <si>
    <t>0552963281</t>
  </si>
  <si>
    <t>4m70496</t>
  </si>
  <si>
    <t>Samuel Antwi</t>
  </si>
  <si>
    <t>0549398838</t>
  </si>
  <si>
    <t>4m2212</t>
  </si>
  <si>
    <t>Salatu Najia</t>
  </si>
  <si>
    <t>0541807530</t>
  </si>
  <si>
    <t>4m80618</t>
  </si>
  <si>
    <t>Patience Asante</t>
  </si>
  <si>
    <t>0249038301</t>
  </si>
  <si>
    <t>4m75882</t>
  </si>
  <si>
    <t>Fatima Yahaya</t>
  </si>
  <si>
    <t>0555140168</t>
  </si>
  <si>
    <t>4m83933</t>
  </si>
  <si>
    <t>Amponsah Georgina</t>
  </si>
  <si>
    <t>0204210298</t>
  </si>
  <si>
    <t>3m48975</t>
  </si>
  <si>
    <t>Kwaku Francis</t>
  </si>
  <si>
    <t>0558901317</t>
  </si>
  <si>
    <t>4m53838</t>
  </si>
  <si>
    <t>Aminah Olivia</t>
  </si>
  <si>
    <t>0596208833</t>
  </si>
  <si>
    <t>4m70921</t>
  </si>
  <si>
    <t>Mavis Abisa</t>
  </si>
  <si>
    <t>0546778954</t>
  </si>
  <si>
    <t>4m74355</t>
  </si>
  <si>
    <t>Elizabeth Yeboah</t>
  </si>
  <si>
    <t>0242887290</t>
  </si>
  <si>
    <t>4m65203</t>
  </si>
  <si>
    <t>Gloria Sowah</t>
  </si>
  <si>
    <t>0249577436</t>
  </si>
  <si>
    <t>4m51638</t>
  </si>
  <si>
    <t>Victoria Frimpong</t>
  </si>
  <si>
    <t>Tuabodom</t>
  </si>
  <si>
    <t>0242924667</t>
  </si>
  <si>
    <t>4m56946</t>
  </si>
  <si>
    <t>Zulia Karim</t>
  </si>
  <si>
    <t>0249833271</t>
  </si>
  <si>
    <t>4m75394</t>
  </si>
  <si>
    <t>Faustina Henewaa</t>
  </si>
  <si>
    <t>0594924631</t>
  </si>
  <si>
    <t>4m57407</t>
  </si>
  <si>
    <t>Racheal Asamoah</t>
  </si>
  <si>
    <t>Dumasua</t>
  </si>
  <si>
    <t>0545536692</t>
  </si>
  <si>
    <t>4m58913</t>
  </si>
  <si>
    <t>traditiona coal pot/gas stove</t>
  </si>
  <si>
    <t>Sandra Asiamah</t>
  </si>
  <si>
    <t>0547162260</t>
  </si>
  <si>
    <t>4m58917</t>
  </si>
  <si>
    <t>Patience Agbetonyo</t>
  </si>
  <si>
    <t>0546938414</t>
  </si>
  <si>
    <t>4m78491</t>
  </si>
  <si>
    <t>Awongde Veronica</t>
  </si>
  <si>
    <t>0248276533</t>
  </si>
  <si>
    <t>4m42713</t>
  </si>
  <si>
    <t>Rita Bodua</t>
  </si>
  <si>
    <t>0596608183</t>
  </si>
  <si>
    <t>4m58406</t>
  </si>
  <si>
    <t>Kwakye Agya</t>
  </si>
  <si>
    <t>0206341894</t>
  </si>
  <si>
    <t>4m26517</t>
  </si>
  <si>
    <t>Ofori Amponsah David</t>
  </si>
  <si>
    <t>0559017818</t>
  </si>
  <si>
    <t>4m28530</t>
  </si>
  <si>
    <t>traditiona coalpot</t>
  </si>
  <si>
    <t>Fati Sulemana</t>
  </si>
  <si>
    <t>0558345951</t>
  </si>
  <si>
    <t>4m24039</t>
  </si>
  <si>
    <t>Sara Kyere</t>
  </si>
  <si>
    <t>0596780047</t>
  </si>
  <si>
    <t>4m56943</t>
  </si>
  <si>
    <t>Barikisu Mumuni</t>
  </si>
  <si>
    <t>4m49966</t>
  </si>
  <si>
    <t>0558649660</t>
  </si>
  <si>
    <t>4m51410</t>
  </si>
  <si>
    <t>0247781499</t>
  </si>
  <si>
    <t>4m57382</t>
  </si>
  <si>
    <t>traditonal coal pot</t>
  </si>
  <si>
    <t>Ama Pokuaa</t>
  </si>
  <si>
    <t>4m16575</t>
  </si>
  <si>
    <t>0545887140</t>
  </si>
  <si>
    <t>4m28489</t>
  </si>
  <si>
    <t>Elizabeth Awuah</t>
  </si>
  <si>
    <t>0552510680</t>
  </si>
  <si>
    <t>4m2123</t>
  </si>
  <si>
    <t>0546716162</t>
  </si>
  <si>
    <t>4m25528</t>
  </si>
  <si>
    <t>Ataa Akosua Lydia</t>
  </si>
  <si>
    <t>0592937291</t>
  </si>
  <si>
    <t>4m14437</t>
  </si>
  <si>
    <t>Yaa Boahemaa</t>
  </si>
  <si>
    <t>0243856627</t>
  </si>
  <si>
    <t>4m28543</t>
  </si>
  <si>
    <t>Traditional coal pot / gas stove</t>
  </si>
  <si>
    <t>Hannah Duruwaa</t>
  </si>
  <si>
    <t>0275244710</t>
  </si>
  <si>
    <t>4m28014</t>
  </si>
  <si>
    <t>Joyce Yeboah Sakyiwaa</t>
  </si>
  <si>
    <t>0200951649</t>
  </si>
  <si>
    <t>4m28673</t>
  </si>
  <si>
    <t>Oppong Amofa</t>
  </si>
  <si>
    <t>0242168749</t>
  </si>
  <si>
    <t>4M83460</t>
  </si>
  <si>
    <t>Kadijatu Nambe</t>
  </si>
  <si>
    <t>0553613036</t>
  </si>
  <si>
    <t>4m65213</t>
  </si>
  <si>
    <t>Sheet under stove is weak</t>
  </si>
  <si>
    <t>Mariam Mushud</t>
  </si>
  <si>
    <t>0546276669</t>
  </si>
  <si>
    <t>4m15230</t>
  </si>
  <si>
    <t>Martha Yeboah</t>
  </si>
  <si>
    <t>0555720864</t>
  </si>
  <si>
    <t>4m15650</t>
  </si>
  <si>
    <t>Ama Ataa</t>
  </si>
  <si>
    <t>0544645778</t>
  </si>
  <si>
    <t>4m78440</t>
  </si>
  <si>
    <t>Margaret Boakye</t>
  </si>
  <si>
    <t>0545157829</t>
  </si>
  <si>
    <t>4m13949</t>
  </si>
  <si>
    <t>Juliet Asante</t>
  </si>
  <si>
    <t>Sunyani new town</t>
  </si>
  <si>
    <t>0543399578</t>
  </si>
  <si>
    <t>4m65933</t>
  </si>
  <si>
    <t>Happy with the stove</t>
  </si>
  <si>
    <t>Mavis Kyerewaa</t>
  </si>
  <si>
    <t>0543337129</t>
  </si>
  <si>
    <t>4m79487</t>
  </si>
  <si>
    <t>The stove works very well</t>
  </si>
  <si>
    <t>Alice Gyaduaa</t>
  </si>
  <si>
    <t>0557095525</t>
  </si>
  <si>
    <t>4m1314</t>
  </si>
  <si>
    <t>Ocane Lydia</t>
  </si>
  <si>
    <t>0247803899</t>
  </si>
  <si>
    <t>4m7917</t>
  </si>
  <si>
    <t>Adwoa Aisha</t>
  </si>
  <si>
    <t>0593305833</t>
  </si>
  <si>
    <t>3m45930</t>
  </si>
  <si>
    <t>Faustina Banuo</t>
  </si>
  <si>
    <t>0542414732</t>
  </si>
  <si>
    <t>3m47389</t>
  </si>
  <si>
    <t>Ramatu Awudu</t>
  </si>
  <si>
    <t>0546315536</t>
  </si>
  <si>
    <t>4m1418</t>
  </si>
  <si>
    <t>Mary Yaa</t>
  </si>
  <si>
    <t>0544607923</t>
  </si>
  <si>
    <t>4m94332</t>
  </si>
  <si>
    <t>Traditionalcoal pot/ three stone cooking fires</t>
  </si>
  <si>
    <t>Pokuaa Susana</t>
  </si>
  <si>
    <t>0552395678</t>
  </si>
  <si>
    <t>4m57615</t>
  </si>
  <si>
    <t>Elizabeth Oforiwaa</t>
  </si>
  <si>
    <t>0245947093</t>
  </si>
  <si>
    <t>4m92461</t>
  </si>
  <si>
    <t>traditional coalpot/three stone cooking fires</t>
  </si>
  <si>
    <t>Victoria Beyouo</t>
  </si>
  <si>
    <t>0247833071</t>
  </si>
  <si>
    <t>4m72973</t>
  </si>
  <si>
    <t>Doris Afriyie</t>
  </si>
  <si>
    <t>0554681651</t>
  </si>
  <si>
    <t>3m47237</t>
  </si>
  <si>
    <t>Ramatu Ali</t>
  </si>
  <si>
    <t>0542658907</t>
  </si>
  <si>
    <t>4m7310</t>
  </si>
  <si>
    <t>Awal Alia</t>
  </si>
  <si>
    <t>0559362108</t>
  </si>
  <si>
    <t>4m1769</t>
  </si>
  <si>
    <t>Memuna Karim</t>
  </si>
  <si>
    <t>0556354713</t>
  </si>
  <si>
    <t>3m43215</t>
  </si>
  <si>
    <t>Seidu Memunatu</t>
  </si>
  <si>
    <t>0249344633</t>
  </si>
  <si>
    <t>4m70508</t>
  </si>
  <si>
    <t>three stone cooking fire</t>
  </si>
  <si>
    <t>0543066954</t>
  </si>
  <si>
    <t>4m75886</t>
  </si>
  <si>
    <t>Gifty Pomaa</t>
  </si>
  <si>
    <t>0246536401</t>
  </si>
  <si>
    <t>4m16128</t>
  </si>
  <si>
    <t>Maame Yaa</t>
  </si>
  <si>
    <t>0548600117</t>
  </si>
  <si>
    <t>4m60440</t>
  </si>
  <si>
    <t>Cecilia Agyapong</t>
  </si>
  <si>
    <t>0591188367</t>
  </si>
  <si>
    <t>4m23212</t>
  </si>
  <si>
    <t>Darko Janet</t>
  </si>
  <si>
    <t>0547450743</t>
  </si>
  <si>
    <t>4m25010</t>
  </si>
  <si>
    <t>Victoria Baazeng</t>
  </si>
  <si>
    <t>0554910579</t>
  </si>
  <si>
    <t>3m40000</t>
  </si>
  <si>
    <t>Fati Seidu</t>
  </si>
  <si>
    <t>0558077802</t>
  </si>
  <si>
    <t>3m38343</t>
  </si>
  <si>
    <t>Traditinoal coal pot/ gas stove</t>
  </si>
  <si>
    <t>Adwoa Yeboah</t>
  </si>
  <si>
    <t>0205482892</t>
  </si>
  <si>
    <t>3m41021</t>
  </si>
  <si>
    <t>Fati Mamudu</t>
  </si>
  <si>
    <t>0248420157</t>
  </si>
  <si>
    <t>3m46258</t>
  </si>
  <si>
    <t>0208319829</t>
  </si>
  <si>
    <t>4m28523</t>
  </si>
  <si>
    <t>total</t>
  </si>
  <si>
    <t>Uy</t>
  </si>
  <si>
    <t>Batch 2018</t>
  </si>
  <si>
    <t>Batch 2019</t>
  </si>
  <si>
    <t>Batch 2020</t>
  </si>
  <si>
    <t>Population</t>
  </si>
  <si>
    <t>sample</t>
  </si>
  <si>
    <t>Montoring period of CPA001</t>
  </si>
  <si>
    <t>CDM41832</t>
  </si>
  <si>
    <t>CDM15512</t>
  </si>
  <si>
    <t>CDM17473</t>
  </si>
  <si>
    <t>stove 2,1 result</t>
  </si>
  <si>
    <t>2M377</t>
  </si>
  <si>
    <t>stove 1,1 result</t>
  </si>
  <si>
    <t>2M12261</t>
  </si>
  <si>
    <t>stove 3,1 result</t>
  </si>
  <si>
    <t>4M74584</t>
  </si>
  <si>
    <t>stove 4,1 result</t>
  </si>
  <si>
    <t>stove 5,1 result</t>
  </si>
  <si>
    <t>4M71506</t>
  </si>
  <si>
    <t>stove 7,1 result</t>
  </si>
  <si>
    <t>3M32758</t>
  </si>
  <si>
    <t>stove 8,1 result</t>
  </si>
  <si>
    <t>2M7284</t>
  </si>
  <si>
    <t>stove 9,1 result</t>
  </si>
  <si>
    <t>stove 6,1 result</t>
  </si>
  <si>
    <t>total nb of surveys</t>
  </si>
  <si>
    <t>HH size</t>
  </si>
  <si>
    <t>Overall</t>
  </si>
  <si>
    <t>Final number of surveys conducted</t>
  </si>
  <si>
    <t xml:space="preserve">ex-ante estimation for 2022 : </t>
  </si>
  <si>
    <t xml:space="preserve">ex-ante estimation for this MP : </t>
  </si>
  <si>
    <r>
      <t>1- µ</t>
    </r>
    <r>
      <rPr>
        <b/>
        <vertAlign val="subscript"/>
        <sz val="12"/>
        <color theme="0"/>
        <rFont val="Arial"/>
        <family val="2"/>
      </rPr>
      <t>,y</t>
    </r>
  </si>
  <si>
    <t>Difference</t>
  </si>
  <si>
    <r>
      <t>N</t>
    </r>
    <r>
      <rPr>
        <b/>
        <vertAlign val="subscript"/>
        <sz val="12"/>
        <color indexed="9"/>
        <rFont val="Arial"/>
        <family val="2"/>
      </rPr>
      <t>d,HH</t>
    </r>
  </si>
  <si>
    <t>Final</t>
  </si>
  <si>
    <t>ERs Ecoeye</t>
  </si>
  <si>
    <t>ERs 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</si>
</sst>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  <numFmt numFmtId="167" formatCode="#,##0.000"/>
    <numFmt numFmtId="168" formatCode="0.0%"/>
    <numFmt numFmtId="169" formatCode="_(* #,##0_);_(* \(#,##0\);_(* &quot;-&quot;??_);_(@_)"/>
    <numFmt numFmtId="170" formatCode="#,##0.0"/>
    <numFmt numFmtId="171" formatCode="0.0000"/>
    <numFmt numFmtId="172" formatCode="_-* #,##0.0000\ _€_-;\-* #,##0.0000\ _€_-;_-* &quot;-&quot;??\ _€_-;_-@_-"/>
    <numFmt numFmtId="173" formatCode="0.0"/>
    <numFmt numFmtId="174" formatCode="_-* #,##0.000\ _€_-;\-* #,##0.000\ _€_-;_-* &quot;-&quot;??\ _€_-;_-@_-"/>
    <numFmt numFmtId="175" formatCode="0.000"/>
    <numFmt numFmtId="176" formatCode="#,##0.0000"/>
    <numFmt numFmtId="177" formatCode="_-* #,##0.0\ _€_-;\-* #,##0.0\ _€_-;_-* &quot;-&quot;??\ _€_-;_-@_-"/>
  </numFmts>
  <fonts count="11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Century Gothic"/>
      <family val="2"/>
    </font>
    <font>
      <sz val="10"/>
      <color theme="1"/>
      <name val="Arial"/>
      <family val="2"/>
    </font>
    <font>
      <b/>
      <sz val="14"/>
      <color rgb="FF084593"/>
      <name val="Arial"/>
      <family val="2"/>
    </font>
    <font>
      <sz val="11"/>
      <color theme="1"/>
      <name val="Arial"/>
      <family val="2"/>
    </font>
    <font>
      <i/>
      <sz val="10"/>
      <color theme="0"/>
      <name val="Arial"/>
      <family val="2"/>
    </font>
    <font>
      <sz val="11"/>
      <color theme="0"/>
      <name val="Arial"/>
      <family val="2"/>
    </font>
    <font>
      <sz val="11"/>
      <color rgb="FFF26722"/>
      <name val="Arial"/>
      <family val="2"/>
    </font>
    <font>
      <b/>
      <sz val="10"/>
      <color rgb="FFF26722"/>
      <name val="Arial"/>
      <family val="2"/>
    </font>
    <font>
      <sz val="10"/>
      <color theme="0" tint="-0.499984740745262"/>
      <name val="Arial"/>
      <family val="2"/>
    </font>
    <font>
      <b/>
      <sz val="10"/>
      <color rgb="FF41515C"/>
      <name val="Arial"/>
      <family val="2"/>
    </font>
    <font>
      <sz val="10"/>
      <color rgb="FF41515C"/>
      <name val="Arial"/>
      <family val="2"/>
    </font>
    <font>
      <vertAlign val="subscript"/>
      <sz val="10"/>
      <color indexed="63"/>
      <name val="Arial"/>
      <family val="2"/>
    </font>
    <font>
      <sz val="10"/>
      <color indexed="63"/>
      <name val="Arial"/>
      <family val="2"/>
    </font>
    <font>
      <i/>
      <sz val="10"/>
      <color theme="0" tint="-0.499984740745262"/>
      <name val="Arial"/>
      <family val="2"/>
    </font>
    <font>
      <sz val="10"/>
      <color indexed="9"/>
      <name val="Arial"/>
      <family val="2"/>
    </font>
    <font>
      <sz val="10"/>
      <color indexed="9"/>
      <name val="Calibri"/>
      <family val="2"/>
    </font>
    <font>
      <vertAlign val="subscript"/>
      <sz val="10"/>
      <color indexed="9"/>
      <name val="Century Gothic"/>
      <family val="2"/>
    </font>
    <font>
      <b/>
      <vertAlign val="subscript"/>
      <sz val="10"/>
      <color theme="0"/>
      <name val="Arial"/>
      <family val="2"/>
    </font>
    <font>
      <b/>
      <sz val="10"/>
      <color indexed="63"/>
      <name val="Arial"/>
      <family val="2"/>
    </font>
    <font>
      <b/>
      <vertAlign val="subscript"/>
      <sz val="10"/>
      <color indexed="63"/>
      <name val="Arial"/>
      <family val="2"/>
    </font>
    <font>
      <b/>
      <vertAlign val="subscript"/>
      <sz val="9"/>
      <color indexed="63"/>
      <name val="Arial"/>
      <family val="2"/>
    </font>
    <font>
      <b/>
      <vertAlign val="subscript"/>
      <sz val="12"/>
      <color indexed="9"/>
      <name val="Arial"/>
      <family val="2"/>
    </font>
    <font>
      <b/>
      <vertAlign val="subscript"/>
      <sz val="16"/>
      <color indexed="9"/>
      <name val="Arial"/>
      <family val="2"/>
    </font>
    <font>
      <b/>
      <vertAlign val="subscript"/>
      <sz val="16"/>
      <color indexed="9"/>
      <name val="Calibri"/>
      <family val="2"/>
    </font>
    <font>
      <b/>
      <vertAlign val="subscript"/>
      <sz val="9"/>
      <color indexed="9"/>
      <name val="Arial"/>
      <family val="2"/>
    </font>
    <font>
      <sz val="12"/>
      <color theme="1"/>
      <name val="Calibri"/>
      <family val="2"/>
      <scheme val="minor"/>
    </font>
    <font>
      <b/>
      <vertAlign val="subscript"/>
      <sz val="10"/>
      <color rgb="FF41515C"/>
      <name val="Arial"/>
      <family val="2"/>
    </font>
    <font>
      <vertAlign val="subscript"/>
      <sz val="10"/>
      <color indexed="9"/>
      <name val="Arial"/>
      <family val="2"/>
    </font>
    <font>
      <b/>
      <vertAlign val="subscript"/>
      <sz val="10"/>
      <color indexed="9"/>
      <name val="Arial"/>
      <family val="2"/>
    </font>
    <font>
      <b/>
      <i/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8"/>
      <color rgb="FF41515C"/>
      <name val="Arial"/>
      <family val="2"/>
    </font>
    <font>
      <b/>
      <sz val="9"/>
      <color rgb="FFF26924"/>
      <name val="Arial"/>
      <family val="2"/>
    </font>
    <font>
      <sz val="8"/>
      <color rgb="FF41515C"/>
      <name val="Arial"/>
      <family val="2"/>
    </font>
    <font>
      <b/>
      <sz val="8"/>
      <color rgb="FFF26924"/>
      <name val="Arial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41515C"/>
      <name val="Arial"/>
      <family val="2"/>
    </font>
    <font>
      <sz val="14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8"/>
      <name val="Times New Roman"/>
      <family val="1"/>
    </font>
    <font>
      <i/>
      <sz val="11"/>
      <color indexed="8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vertAlign val="subscript"/>
      <sz val="10"/>
      <color rgb="FF41515C"/>
      <name val="Arial Narrow"/>
      <family val="2"/>
    </font>
    <font>
      <sz val="11"/>
      <color theme="1"/>
      <name val="Calibri"/>
      <family val="3"/>
      <charset val="128"/>
      <scheme val="minor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宋体"/>
      <charset val="134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vertAlign val="superscript"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41515C"/>
      <name val="Arial"/>
      <family val="2"/>
    </font>
    <font>
      <i/>
      <sz val="10"/>
      <color rgb="FF41515C"/>
      <name val="Arial"/>
      <family val="2"/>
    </font>
    <font>
      <i/>
      <sz val="10"/>
      <color theme="1" tint="0.34998626667073579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Odudo"/>
      <family val="3"/>
    </font>
    <font>
      <sz val="11"/>
      <color rgb="FF000000"/>
      <name val="Odudo"/>
      <family val="3"/>
    </font>
    <font>
      <vertAlign val="subscript"/>
      <sz val="10"/>
      <color rgb="FF41515C"/>
      <name val="Arial"/>
      <family val="2"/>
    </font>
    <font>
      <vertAlign val="subscript"/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indexed="9"/>
      <name val="Arial"/>
      <family val="2"/>
    </font>
    <font>
      <b/>
      <sz val="16"/>
      <color indexed="9"/>
      <name val="Cambria"/>
      <family val="1"/>
    </font>
    <font>
      <sz val="9"/>
      <color indexed="9"/>
      <name val="Arial"/>
      <family val="2"/>
    </font>
    <font>
      <b/>
      <vertAlign val="subscript"/>
      <sz val="9"/>
      <color theme="0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8"/>
      <color rgb="FF242424"/>
      <name val="Segoe UI"/>
      <family val="2"/>
    </font>
    <font>
      <b/>
      <sz val="12"/>
      <color theme="0"/>
      <name val="Arial"/>
      <family val="2"/>
    </font>
    <font>
      <vertAlign val="subscript"/>
      <sz val="12"/>
      <color indexed="9"/>
      <name val="Arial"/>
      <family val="2"/>
    </font>
    <font>
      <sz val="12"/>
      <color theme="0"/>
      <name val="Arial"/>
      <family val="2"/>
    </font>
    <font>
      <b/>
      <vertAlign val="subscript"/>
      <sz val="12"/>
      <color theme="0"/>
      <name val="Arial"/>
      <family val="2"/>
    </font>
    <font>
      <sz val="12"/>
      <color indexed="9"/>
      <name val="Arial"/>
      <family val="2"/>
    </font>
    <font>
      <i/>
      <sz val="12"/>
      <color theme="0"/>
      <name val="Arial"/>
      <family val="2"/>
    </font>
    <font>
      <i/>
      <vertAlign val="subscript"/>
      <sz val="12"/>
      <color indexed="9"/>
      <name val="Arial"/>
      <family val="2"/>
    </font>
    <font>
      <i/>
      <sz val="12"/>
      <color indexed="9"/>
      <name val="Arial"/>
      <family val="2"/>
    </font>
    <font>
      <b/>
      <i/>
      <sz val="12"/>
      <color theme="0"/>
      <name val="Arial"/>
      <family val="2"/>
    </font>
    <font>
      <b/>
      <sz val="12"/>
      <color rgb="FF41515C"/>
      <name val="Arial"/>
      <family val="2"/>
    </font>
    <font>
      <sz val="12"/>
      <color rgb="FF41515C"/>
      <name val="Arial"/>
      <family val="2"/>
    </font>
    <font>
      <sz val="12"/>
      <color theme="1"/>
      <name val="Arial"/>
      <family val="2"/>
    </font>
    <font>
      <b/>
      <sz val="10"/>
      <color theme="3"/>
      <name val="Arial"/>
      <family val="2"/>
    </font>
    <font>
      <b/>
      <vertAlign val="subscript"/>
      <sz val="10"/>
      <color theme="3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151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29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1515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</fills>
  <borders count="1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41515C"/>
      </left>
      <right style="thin">
        <color theme="1" tint="0.249977111117893"/>
      </right>
      <top style="medium">
        <color rgb="FF41515C"/>
      </top>
      <bottom style="hair">
        <color rgb="FF41515C"/>
      </bottom>
      <diagonal/>
    </border>
    <border>
      <left/>
      <right style="thin">
        <color theme="0"/>
      </right>
      <top style="medium">
        <color rgb="FF41515C"/>
      </top>
      <bottom/>
      <diagonal/>
    </border>
    <border>
      <left style="thin">
        <color theme="0"/>
      </left>
      <right style="medium">
        <color rgb="FF41515C"/>
      </right>
      <top style="medium">
        <color rgb="FF41515C"/>
      </top>
      <bottom/>
      <diagonal/>
    </border>
    <border>
      <left style="medium">
        <color rgb="FF41515C"/>
      </left>
      <right/>
      <top/>
      <bottom style="hair">
        <color rgb="FF41515C"/>
      </bottom>
      <diagonal/>
    </border>
    <border>
      <left/>
      <right/>
      <top/>
      <bottom style="hair">
        <color rgb="FF41515C"/>
      </bottom>
      <diagonal/>
    </border>
    <border>
      <left/>
      <right style="medium">
        <color rgb="FF41515C"/>
      </right>
      <top/>
      <bottom style="hair">
        <color rgb="FF41515C"/>
      </bottom>
      <diagonal/>
    </border>
    <border>
      <left style="thin">
        <color theme="1" tint="0.249977111117893"/>
      </left>
      <right style="medium">
        <color rgb="FF41515C"/>
      </right>
      <top style="medium">
        <color rgb="FF41515C"/>
      </top>
      <bottom style="hair">
        <color rgb="FF41515C"/>
      </bottom>
      <diagonal/>
    </border>
    <border>
      <left style="medium">
        <color rgb="FF41515C"/>
      </left>
      <right/>
      <top style="hair">
        <color rgb="FF41515C"/>
      </top>
      <bottom style="hair">
        <color rgb="FF41515C"/>
      </bottom>
      <diagonal/>
    </border>
    <border>
      <left/>
      <right/>
      <top style="hair">
        <color rgb="FF41515C"/>
      </top>
      <bottom style="hair">
        <color rgb="FF41515C"/>
      </bottom>
      <diagonal/>
    </border>
    <border>
      <left/>
      <right style="medium">
        <color rgb="FF41515C"/>
      </right>
      <top style="hair">
        <color rgb="FF41515C"/>
      </top>
      <bottom style="hair">
        <color rgb="FF41515C"/>
      </bottom>
      <diagonal/>
    </border>
    <border>
      <left style="medium">
        <color rgb="FF41515C"/>
      </left>
      <right style="thin">
        <color theme="1" tint="0.249977111117893"/>
      </right>
      <top style="hair">
        <color rgb="FF41515C"/>
      </top>
      <bottom style="hair">
        <color rgb="FF41515C"/>
      </bottom>
      <diagonal/>
    </border>
    <border>
      <left style="thin">
        <color theme="1" tint="0.249977111117893"/>
      </left>
      <right style="medium">
        <color rgb="FF41515C"/>
      </right>
      <top style="hair">
        <color rgb="FF41515C"/>
      </top>
      <bottom style="hair">
        <color rgb="FF41515C"/>
      </bottom>
      <diagonal/>
    </border>
    <border>
      <left/>
      <right style="medium">
        <color indexed="30"/>
      </right>
      <top style="hair">
        <color rgb="FF41515C"/>
      </top>
      <bottom style="hair">
        <color rgb="FF41515C"/>
      </bottom>
      <diagonal/>
    </border>
    <border>
      <left style="medium">
        <color rgb="FF41515C"/>
      </left>
      <right style="thin">
        <color theme="1" tint="0.249977111117893"/>
      </right>
      <top style="hair">
        <color rgb="FF41515C"/>
      </top>
      <bottom/>
      <diagonal/>
    </border>
    <border>
      <left style="medium">
        <color rgb="FF41515C"/>
      </left>
      <right/>
      <top style="hair">
        <color rgb="FF41515C"/>
      </top>
      <bottom/>
      <diagonal/>
    </border>
    <border>
      <left/>
      <right/>
      <top style="hair">
        <color rgb="FF41515C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1" tint="0.249977111117893"/>
      </right>
      <top/>
      <bottom style="hair">
        <color rgb="FF41515C"/>
      </bottom>
      <diagonal/>
    </border>
    <border>
      <left style="thin">
        <color theme="1" tint="0.249977111117893"/>
      </left>
      <right style="medium">
        <color rgb="FF41515C"/>
      </right>
      <top/>
      <bottom style="hair">
        <color rgb="FF41515C"/>
      </bottom>
      <diagonal/>
    </border>
    <border>
      <left style="thin">
        <color rgb="FF41515C"/>
      </left>
      <right style="medium">
        <color rgb="FF41515C"/>
      </right>
      <top style="hair">
        <color rgb="FF41515C"/>
      </top>
      <bottom/>
      <diagonal/>
    </border>
    <border>
      <left/>
      <right style="medium">
        <color rgb="FF41515C"/>
      </right>
      <top/>
      <bottom/>
      <diagonal/>
    </border>
    <border>
      <left/>
      <right/>
      <top style="medium">
        <color rgb="FF41515C"/>
      </top>
      <bottom style="thin">
        <color auto="1"/>
      </bottom>
      <diagonal/>
    </border>
    <border>
      <left/>
      <right style="medium">
        <color rgb="FF41515C"/>
      </right>
      <top style="medium">
        <color rgb="FF41515C"/>
      </top>
      <bottom style="thin">
        <color auto="1"/>
      </bottom>
      <diagonal/>
    </border>
    <border>
      <left style="medium">
        <color rgb="FF41515C"/>
      </left>
      <right style="thin">
        <color theme="1" tint="0.249977111117893"/>
      </right>
      <top style="hair">
        <color rgb="FF41515C"/>
      </top>
      <bottom style="thin">
        <color auto="1"/>
      </bottom>
      <diagonal/>
    </border>
    <border>
      <left style="thin">
        <color theme="1" tint="0.249977111117893"/>
      </left>
      <right style="medium">
        <color rgb="FF41515C"/>
      </right>
      <top style="hair">
        <color rgb="FF41515C"/>
      </top>
      <bottom style="thin">
        <color auto="1"/>
      </bottom>
      <diagonal/>
    </border>
    <border>
      <left style="medium">
        <color rgb="FF41515C"/>
      </left>
      <right/>
      <top style="hair">
        <color rgb="FF41515C"/>
      </top>
      <bottom style="medium">
        <color theme="0"/>
      </bottom>
      <diagonal/>
    </border>
    <border>
      <left/>
      <right/>
      <top style="hair">
        <color rgb="FF41515C"/>
      </top>
      <bottom style="medium">
        <color theme="0"/>
      </bottom>
      <diagonal/>
    </border>
    <border>
      <left/>
      <right style="medium">
        <color rgb="FF41515C"/>
      </right>
      <top style="hair">
        <color rgb="FF41515C"/>
      </top>
      <bottom style="medium">
        <color theme="0"/>
      </bottom>
      <diagonal/>
    </border>
    <border>
      <left style="medium">
        <color rgb="FF41515C"/>
      </left>
      <right/>
      <top/>
      <bottom style="medium">
        <color rgb="FF41515C"/>
      </bottom>
      <diagonal/>
    </border>
    <border>
      <left style="thin">
        <color rgb="FF41515C"/>
      </left>
      <right style="medium">
        <color rgb="FF41515C"/>
      </right>
      <top style="hair">
        <color rgb="FF41515C"/>
      </top>
      <bottom style="hair">
        <color rgb="FF41515C"/>
      </bottom>
      <diagonal/>
    </border>
    <border>
      <left style="medium">
        <color rgb="FF41515C"/>
      </left>
      <right style="medium">
        <color rgb="FF41515C"/>
      </right>
      <top style="medium">
        <color rgb="FF41515C"/>
      </top>
      <bottom/>
      <diagonal/>
    </border>
    <border>
      <left style="medium">
        <color rgb="FF41515C"/>
      </left>
      <right/>
      <top style="medium">
        <color rgb="FF41515C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41515C"/>
      </top>
      <bottom style="thin">
        <color theme="0"/>
      </bottom>
      <diagonal/>
    </border>
    <border>
      <left/>
      <right style="thin">
        <color theme="0"/>
      </right>
      <top style="medium">
        <color rgb="FF41515C"/>
      </top>
      <bottom style="thin">
        <color theme="0"/>
      </bottom>
      <diagonal/>
    </border>
    <border>
      <left/>
      <right style="medium">
        <color rgb="FF41515C"/>
      </right>
      <top style="medium">
        <color rgb="FF41515C"/>
      </top>
      <bottom style="thin">
        <color theme="0"/>
      </bottom>
      <diagonal/>
    </border>
    <border>
      <left style="medium">
        <color rgb="FF41515C"/>
      </left>
      <right style="medium">
        <color rgb="FF41515C"/>
      </right>
      <top/>
      <bottom style="thin">
        <color theme="0"/>
      </bottom>
      <diagonal/>
    </border>
    <border>
      <left style="medium">
        <color rgb="FF41515C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1" tint="0.249977111117893"/>
      </right>
      <top style="thin">
        <color theme="0"/>
      </top>
      <bottom/>
      <diagonal/>
    </border>
    <border>
      <left style="medium">
        <color rgb="FF41515C"/>
      </left>
      <right style="thin">
        <color theme="1" tint="0.249977111117893"/>
      </right>
      <top/>
      <bottom style="hair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hair">
        <color theme="1" tint="0.249977111117893"/>
      </bottom>
      <diagonal/>
    </border>
    <border>
      <left/>
      <right style="thin">
        <color theme="1" tint="0.249977111117893"/>
      </right>
      <top/>
      <bottom style="hair">
        <color theme="1" tint="0.249977111117893"/>
      </bottom>
      <diagonal/>
    </border>
    <border>
      <left/>
      <right/>
      <top style="thin">
        <color rgb="FF41515C"/>
      </top>
      <bottom style="thin">
        <color rgb="FF41515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41515C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rgb="FF41515C"/>
      </top>
      <bottom style="thin">
        <color rgb="FF41515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41515C"/>
      </bottom>
      <diagonal/>
    </border>
    <border>
      <left style="medium">
        <color rgb="FF41515C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41515C"/>
      </left>
      <right style="medium">
        <color rgb="FF41515C"/>
      </right>
      <top style="thin">
        <color auto="1"/>
      </top>
      <bottom/>
      <diagonal/>
    </border>
    <border>
      <left style="medium">
        <color rgb="FF41515C"/>
      </left>
      <right/>
      <top/>
      <bottom style="hair">
        <color theme="1" tint="0.249977111117893"/>
      </bottom>
      <diagonal/>
    </border>
    <border>
      <left style="thin">
        <color auto="1"/>
      </left>
      <right style="thin">
        <color auto="1"/>
      </right>
      <top/>
      <bottom style="hair">
        <color theme="1" tint="0.249977111117893"/>
      </bottom>
      <diagonal/>
    </border>
    <border>
      <left style="medium">
        <color rgb="FF41515C"/>
      </left>
      <right style="medium">
        <color rgb="FF41515C"/>
      </right>
      <top/>
      <bottom style="thin">
        <color auto="1"/>
      </bottom>
      <diagonal/>
    </border>
    <border>
      <left/>
      <right style="thin">
        <color theme="1" tint="0.249977111117893"/>
      </right>
      <top/>
      <bottom/>
      <diagonal/>
    </border>
    <border>
      <left style="medium">
        <color rgb="FF41515C"/>
      </left>
      <right/>
      <top style="thin">
        <color auto="1"/>
      </top>
      <bottom style="hair">
        <color theme="1" tint="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theme="1" tint="0.249977111117893"/>
      </bottom>
      <diagonal/>
    </border>
    <border>
      <left style="medium">
        <color rgb="FF41515C"/>
      </left>
      <right style="thin">
        <color theme="1" tint="0.249977111117893"/>
      </right>
      <top style="thin">
        <color auto="1"/>
      </top>
      <bottom style="hair">
        <color theme="1" tint="0.249977111117893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41515C"/>
      </right>
      <top/>
      <bottom style="thin">
        <color auto="1"/>
      </bottom>
      <diagonal/>
    </border>
    <border>
      <left style="medium">
        <color rgb="FF41515C"/>
      </left>
      <right/>
      <top/>
      <bottom style="thin">
        <color auto="1"/>
      </bottom>
      <diagonal/>
    </border>
    <border>
      <left/>
      <right style="thin">
        <color theme="1" tint="0.249977111117893"/>
      </right>
      <top/>
      <bottom style="thin">
        <color auto="1"/>
      </bottom>
      <diagonal/>
    </border>
    <border>
      <left style="medium">
        <color rgb="FF41515C"/>
      </left>
      <right style="thin">
        <color theme="1" tint="0.24997711111789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41515C"/>
      </left>
      <right style="medium">
        <color rgb="FF41515C"/>
      </right>
      <top/>
      <bottom style="medium">
        <color rgb="FF41515C"/>
      </bottom>
      <diagonal/>
    </border>
    <border>
      <left style="medium">
        <color rgb="FF41515C"/>
      </left>
      <right style="thin">
        <color auto="1"/>
      </right>
      <top style="thin">
        <color rgb="FF41515C"/>
      </top>
      <bottom style="hair">
        <color theme="1" tint="0.249977111117893"/>
      </bottom>
      <diagonal/>
    </border>
    <border>
      <left/>
      <right style="medium">
        <color rgb="FF41515C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41515C"/>
      </top>
      <bottom style="medium">
        <color rgb="FF41515C"/>
      </bottom>
      <diagonal/>
    </border>
    <border>
      <left/>
      <right style="thin">
        <color rgb="FF41515C"/>
      </right>
      <top style="thin">
        <color rgb="FF41515C"/>
      </top>
      <bottom style="thin">
        <color rgb="FF41515C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41515C"/>
      </right>
      <top style="thin">
        <color auto="1"/>
      </top>
      <bottom/>
      <diagonal/>
    </border>
    <border>
      <left style="thin">
        <color auto="1"/>
      </left>
      <right style="medium">
        <color rgb="FF41515C"/>
      </right>
      <top/>
      <bottom style="thin">
        <color auto="1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dotted">
        <color rgb="FFFFC000"/>
      </top>
      <bottom style="hair">
        <color theme="1" tint="0.249977111117893"/>
      </bottom>
      <diagonal/>
    </border>
    <border>
      <left/>
      <right style="thin">
        <color theme="1" tint="0.249977111117893"/>
      </right>
      <top style="dotted">
        <color rgb="FFFFC000"/>
      </top>
      <bottom style="hair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ck">
        <color rgb="FFFFC000"/>
      </bottom>
      <diagonal/>
    </border>
    <border>
      <left/>
      <right style="thin">
        <color theme="1" tint="0.249977111117893"/>
      </right>
      <top/>
      <bottom style="thick">
        <color rgb="FFFFC000"/>
      </bottom>
      <diagonal/>
    </border>
    <border>
      <left style="thin">
        <color indexed="64"/>
      </left>
      <right style="thin">
        <color rgb="FF404040"/>
      </right>
      <top style="thin">
        <color rgb="FFFFFFFF"/>
      </top>
      <bottom/>
      <diagonal/>
    </border>
    <border>
      <left style="thin">
        <color rgb="FF40404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41515C"/>
      </right>
      <top style="medium">
        <color rgb="FF41515C"/>
      </top>
      <bottom style="medium">
        <color rgb="FF41515C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rgb="FFFFC000"/>
      </top>
      <bottom/>
      <diagonal/>
    </border>
    <border>
      <left style="medium">
        <color rgb="FF41515C"/>
      </left>
      <right/>
      <top style="medium">
        <color rgb="FF41515C"/>
      </top>
      <bottom/>
      <diagonal/>
    </border>
    <border>
      <left/>
      <right/>
      <top style="medium">
        <color rgb="FF41515C"/>
      </top>
      <bottom/>
      <diagonal/>
    </border>
    <border>
      <left/>
      <right style="medium">
        <color rgb="FF41515C"/>
      </right>
      <top style="medium">
        <color rgb="FF41515C"/>
      </top>
      <bottom/>
      <diagonal/>
    </border>
    <border>
      <left style="medium">
        <color rgb="FF41515C"/>
      </left>
      <right/>
      <top style="hair">
        <color rgb="FF41515C"/>
      </top>
      <bottom style="thin">
        <color auto="1"/>
      </bottom>
      <diagonal/>
    </border>
    <border>
      <left/>
      <right/>
      <top style="hair">
        <color rgb="FF41515C"/>
      </top>
      <bottom style="thin">
        <color auto="1"/>
      </bottom>
      <diagonal/>
    </border>
    <border>
      <left/>
      <right style="medium">
        <color rgb="FF41515C"/>
      </right>
      <top style="hair">
        <color rgb="FF41515C"/>
      </top>
      <bottom style="thin">
        <color auto="1"/>
      </bottom>
      <diagonal/>
    </border>
    <border>
      <left/>
      <right style="medium">
        <color rgb="FF41515C"/>
      </right>
      <top style="hair">
        <color rgb="FF41515C"/>
      </top>
      <bottom/>
      <diagonal/>
    </border>
    <border>
      <left style="thin">
        <color theme="1" tint="0.249977111117893"/>
      </left>
      <right style="medium">
        <color rgb="FF41515C"/>
      </right>
      <top style="hair">
        <color rgb="FF41515C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rgb="FF41515C"/>
      </top>
      <bottom/>
      <diagonal/>
    </border>
    <border>
      <left/>
      <right/>
      <top style="thin">
        <color rgb="FF41515C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41515C"/>
      </bottom>
      <diagonal/>
    </border>
    <border>
      <left/>
      <right/>
      <top style="medium">
        <color indexed="64"/>
      </top>
      <bottom style="thin">
        <color rgb="FF41515C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41515C"/>
      </bottom>
      <diagonal/>
    </border>
    <border>
      <left/>
      <right style="medium">
        <color indexed="64"/>
      </right>
      <top style="thin">
        <color rgb="FF41515C"/>
      </top>
      <bottom style="thin">
        <color rgb="FF41515C"/>
      </bottom>
      <diagonal/>
    </border>
    <border>
      <left style="medium">
        <color indexed="64"/>
      </left>
      <right/>
      <top style="medium">
        <color rgb="FFF2692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41515C"/>
      </left>
      <right style="thin">
        <color theme="1" tint="0.249977111117893"/>
      </right>
      <top/>
      <bottom style="medium">
        <color rgb="FF41515C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medium">
        <color rgb="FF41515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rgb="FF41515C"/>
      </top>
      <bottom style="thin">
        <color auto="1"/>
      </bottom>
      <diagonal/>
    </border>
    <border>
      <left/>
      <right/>
      <top style="thin">
        <color rgb="FF41515C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41515C"/>
      </top>
      <bottom style="thin">
        <color theme="0"/>
      </bottom>
      <diagonal/>
    </border>
  </borders>
  <cellStyleXfs count="53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7" fillId="0" borderId="0">
      <alignment vertical="center"/>
    </xf>
    <xf numFmtId="40" fontId="57" fillId="0" borderId="0" applyFon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top"/>
      <protection locked="0"/>
    </xf>
    <xf numFmtId="3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2" fillId="0" borderId="0">
      <alignment vertical="center"/>
    </xf>
    <xf numFmtId="0" fontId="60" fillId="0" borderId="0"/>
    <xf numFmtId="0" fontId="61" fillId="0" borderId="0"/>
    <xf numFmtId="0" fontId="5" fillId="0" borderId="0" applyFont="0" applyFill="0" applyBorder="0" applyAlignment="0" applyProtection="0"/>
    <xf numFmtId="0" fontId="62" fillId="0" borderId="0"/>
    <xf numFmtId="0" fontId="6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2" fillId="0" borderId="0"/>
    <xf numFmtId="0" fontId="32" fillId="0" borderId="0" applyFont="0" applyFill="0" applyBorder="0" applyAlignment="0" applyProtection="0"/>
    <xf numFmtId="0" fontId="62" fillId="0" borderId="0"/>
    <xf numFmtId="0" fontId="5" fillId="0" borderId="0"/>
    <xf numFmtId="0" fontId="61" fillId="0" borderId="0"/>
    <xf numFmtId="0" fontId="32" fillId="0" borderId="0"/>
    <xf numFmtId="0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62" fillId="0" borderId="0"/>
    <xf numFmtId="0" fontId="61" fillId="0" borderId="0"/>
    <xf numFmtId="0" fontId="6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63" fillId="0" borderId="0"/>
    <xf numFmtId="0" fontId="32" fillId="0" borderId="0"/>
    <xf numFmtId="0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</cellStyleXfs>
  <cellXfs count="566">
    <xf numFmtId="0" fontId="0" fillId="0" borderId="0" xfId="0"/>
    <xf numFmtId="0" fontId="0" fillId="2" borderId="0" xfId="0" applyFill="1"/>
    <xf numFmtId="0" fontId="8" fillId="2" borderId="0" xfId="5" applyFont="1" applyFill="1"/>
    <xf numFmtId="9" fontId="8" fillId="2" borderId="0" xfId="3" applyFont="1" applyFill="1"/>
    <xf numFmtId="0" fontId="10" fillId="3" borderId="0" xfId="4" applyFont="1" applyFill="1"/>
    <xf numFmtId="0" fontId="3" fillId="3" borderId="0" xfId="4" applyFont="1" applyFill="1" applyAlignment="1">
      <alignment vertical="center" wrapText="1"/>
    </xf>
    <xf numFmtId="0" fontId="12" fillId="3" borderId="0" xfId="4" applyFont="1" applyFill="1"/>
    <xf numFmtId="0" fontId="13" fillId="5" borderId="0" xfId="4" applyFont="1" applyFill="1" applyAlignment="1">
      <alignment vertical="center"/>
    </xf>
    <xf numFmtId="0" fontId="14" fillId="5" borderId="0" xfId="4" applyFont="1" applyFill="1" applyAlignment="1">
      <alignment vertical="center"/>
    </xf>
    <xf numFmtId="14" fontId="14" fillId="5" borderId="0" xfId="4" applyNumberFormat="1" applyFont="1" applyFill="1" applyAlignment="1">
      <alignment horizontal="left" vertical="center"/>
    </xf>
    <xf numFmtId="0" fontId="15" fillId="2" borderId="0" xfId="5" applyFont="1" applyFill="1"/>
    <xf numFmtId="3" fontId="16" fillId="6" borderId="6" xfId="5" applyNumberFormat="1" applyFont="1" applyFill="1" applyBorder="1" applyAlignment="1">
      <alignment vertical="center"/>
    </xf>
    <xf numFmtId="0" fontId="3" fillId="3" borderId="7" xfId="4" applyFont="1" applyFill="1" applyBorder="1" applyAlignment="1">
      <alignment horizontal="center"/>
    </xf>
    <xf numFmtId="0" fontId="3" fillId="3" borderId="8" xfId="4" applyFont="1" applyFill="1" applyBorder="1" applyAlignment="1">
      <alignment horizontal="center"/>
    </xf>
    <xf numFmtId="3" fontId="17" fillId="2" borderId="12" xfId="5" applyNumberFormat="1" applyFont="1" applyFill="1" applyBorder="1" applyAlignment="1">
      <alignment horizontal="center" vertical="center"/>
    </xf>
    <xf numFmtId="164" fontId="16" fillId="6" borderId="16" xfId="6" applyFont="1" applyFill="1" applyBorder="1" applyAlignment="1">
      <alignment horizontal="right" vertical="center" wrapText="1"/>
    </xf>
    <xf numFmtId="3" fontId="17" fillId="2" borderId="17" xfId="5" applyNumberFormat="1" applyFont="1" applyFill="1" applyBorder="1" applyAlignment="1">
      <alignment horizontal="center" vertical="center"/>
    </xf>
    <xf numFmtId="9" fontId="15" fillId="2" borderId="0" xfId="3" applyFont="1" applyFill="1"/>
    <xf numFmtId="0" fontId="20" fillId="2" borderId="0" xfId="5" applyFont="1" applyFill="1"/>
    <xf numFmtId="166" fontId="20" fillId="2" borderId="0" xfId="5" applyNumberFormat="1" applyFont="1" applyFill="1"/>
    <xf numFmtId="167" fontId="16" fillId="6" borderId="16" xfId="5" applyNumberFormat="1" applyFont="1" applyFill="1" applyBorder="1" applyAlignment="1">
      <alignment vertical="center"/>
    </xf>
    <xf numFmtId="9" fontId="16" fillId="6" borderId="16" xfId="3" applyFont="1" applyFill="1" applyBorder="1" applyAlignment="1">
      <alignment vertical="center"/>
    </xf>
    <xf numFmtId="10" fontId="16" fillId="4" borderId="16" xfId="3" applyNumberFormat="1" applyFont="1" applyFill="1" applyBorder="1" applyAlignment="1">
      <alignment vertical="center"/>
    </xf>
    <xf numFmtId="168" fontId="16" fillId="6" borderId="16" xfId="3" applyNumberFormat="1" applyFont="1" applyFill="1" applyBorder="1" applyAlignment="1">
      <alignment vertical="center"/>
    </xf>
    <xf numFmtId="3" fontId="16" fillId="4" borderId="19" xfId="5" applyNumberFormat="1" applyFont="1" applyFill="1" applyBorder="1" applyAlignment="1">
      <alignment vertical="center"/>
    </xf>
    <xf numFmtId="3" fontId="16" fillId="6" borderId="16" xfId="5" applyNumberFormat="1" applyFont="1" applyFill="1" applyBorder="1" applyAlignment="1">
      <alignment vertical="center"/>
    </xf>
    <xf numFmtId="3" fontId="17" fillId="2" borderId="25" xfId="5" applyNumberFormat="1" applyFont="1" applyFill="1" applyBorder="1" applyAlignment="1">
      <alignment horizontal="center" vertical="center"/>
    </xf>
    <xf numFmtId="3" fontId="17" fillId="2" borderId="26" xfId="5" applyNumberFormat="1" applyFont="1" applyFill="1" applyBorder="1" applyAlignment="1">
      <alignment horizontal="center" vertical="center"/>
    </xf>
    <xf numFmtId="3" fontId="17" fillId="2" borderId="31" xfId="5" applyNumberFormat="1" applyFont="1" applyFill="1" applyBorder="1" applyAlignment="1">
      <alignment horizontal="center" vertical="center"/>
    </xf>
    <xf numFmtId="166" fontId="16" fillId="6" borderId="35" xfId="3" applyNumberFormat="1" applyFont="1" applyFill="1" applyBorder="1" applyAlignment="1">
      <alignment horizontal="right" vertical="center" wrapText="1"/>
    </xf>
    <xf numFmtId="3" fontId="17" fillId="2" borderId="36" xfId="5" applyNumberFormat="1" applyFont="1" applyFill="1" applyBorder="1" applyAlignment="1">
      <alignment horizontal="center" vertical="center"/>
    </xf>
    <xf numFmtId="0" fontId="15" fillId="4" borderId="0" xfId="5" applyFont="1" applyFill="1"/>
    <xf numFmtId="164" fontId="15" fillId="2" borderId="0" xfId="5" applyNumberFormat="1" applyFont="1" applyFill="1"/>
    <xf numFmtId="0" fontId="25" fillId="7" borderId="0" xfId="5" applyFont="1" applyFill="1"/>
    <xf numFmtId="0" fontId="16" fillId="7" borderId="0" xfId="5" applyFont="1" applyFill="1"/>
    <xf numFmtId="0" fontId="3" fillId="3" borderId="37" xfId="4" applyFont="1" applyFill="1" applyBorder="1" applyAlignment="1">
      <alignment horizontal="center"/>
    </xf>
    <xf numFmtId="0" fontId="3" fillId="3" borderId="38" xfId="4" applyFont="1" applyFill="1" applyBorder="1" applyAlignment="1">
      <alignment horizontal="center"/>
    </xf>
    <xf numFmtId="0" fontId="3" fillId="3" borderId="39" xfId="4" applyFont="1" applyFill="1" applyBorder="1" applyAlignment="1">
      <alignment horizontal="center"/>
    </xf>
    <xf numFmtId="0" fontId="3" fillId="3" borderId="40" xfId="4" applyFont="1" applyFill="1" applyBorder="1" applyAlignment="1">
      <alignment horizontal="center"/>
    </xf>
    <xf numFmtId="0" fontId="3" fillId="3" borderId="41" xfId="4" applyFont="1" applyFill="1" applyBorder="1" applyAlignment="1">
      <alignment horizontal="center"/>
    </xf>
    <xf numFmtId="0" fontId="3" fillId="3" borderId="42" xfId="4" applyFont="1" applyFill="1" applyBorder="1" applyAlignment="1">
      <alignment horizontal="center"/>
    </xf>
    <xf numFmtId="0" fontId="3" fillId="3" borderId="43" xfId="4" applyFont="1" applyFill="1" applyBorder="1" applyAlignment="1">
      <alignment horizontal="center"/>
    </xf>
    <xf numFmtId="0" fontId="11" fillId="3" borderId="44" xfId="4" applyFont="1" applyFill="1" applyBorder="1" applyAlignment="1">
      <alignment horizontal="center"/>
    </xf>
    <xf numFmtId="0" fontId="11" fillId="3" borderId="45" xfId="4" applyFont="1" applyFill="1" applyBorder="1" applyAlignment="1">
      <alignment horizontal="center"/>
    </xf>
    <xf numFmtId="0" fontId="3" fillId="3" borderId="46" xfId="4" applyFont="1" applyFill="1" applyBorder="1" applyAlignment="1">
      <alignment horizontal="center"/>
    </xf>
    <xf numFmtId="0" fontId="11" fillId="3" borderId="46" xfId="4" applyFont="1" applyFill="1" applyBorder="1" applyAlignment="1">
      <alignment horizontal="center"/>
    </xf>
    <xf numFmtId="0" fontId="11" fillId="3" borderId="27" xfId="4" applyFont="1" applyFill="1" applyBorder="1" applyAlignment="1">
      <alignment horizontal="center"/>
    </xf>
    <xf numFmtId="14" fontId="36" fillId="3" borderId="47" xfId="4" applyNumberFormat="1" applyFont="1" applyFill="1" applyBorder="1" applyAlignment="1">
      <alignment horizontal="center"/>
    </xf>
    <xf numFmtId="4" fontId="16" fillId="6" borderId="48" xfId="5" applyNumberFormat="1" applyFont="1" applyFill="1" applyBorder="1" applyAlignment="1">
      <alignment horizontal="center" vertical="center"/>
    </xf>
    <xf numFmtId="164" fontId="8" fillId="2" borderId="0" xfId="2" applyFont="1" applyFill="1"/>
    <xf numFmtId="0" fontId="0" fillId="0" borderId="0" xfId="0" applyAlignment="1">
      <alignment vertical="center"/>
    </xf>
    <xf numFmtId="0" fontId="39" fillId="0" borderId="0" xfId="0" applyFont="1" applyAlignment="1">
      <alignment horizontal="center" vertical="center"/>
    </xf>
    <xf numFmtId="1" fontId="41" fillId="9" borderId="51" xfId="0" applyNumberFormat="1" applyFont="1" applyFill="1" applyBorder="1" applyAlignment="1">
      <alignment horizontal="right" vertical="center" wrapText="1"/>
    </xf>
    <xf numFmtId="9" fontId="41" fillId="9" borderId="51" xfId="3" applyFont="1" applyFill="1" applyBorder="1" applyAlignment="1">
      <alignment horizontal="right" vertical="center" wrapText="1"/>
    </xf>
    <xf numFmtId="2" fontId="41" fillId="9" borderId="51" xfId="0" applyNumberFormat="1" applyFont="1" applyFill="1" applyBorder="1" applyAlignment="1">
      <alignment horizontal="right" vertical="center" wrapText="1"/>
    </xf>
    <xf numFmtId="0" fontId="45" fillId="0" borderId="0" xfId="0" applyFont="1"/>
    <xf numFmtId="0" fontId="45" fillId="6" borderId="0" xfId="0" applyFont="1" applyFill="1"/>
    <xf numFmtId="0" fontId="45" fillId="0" borderId="0" xfId="0" applyFont="1" applyAlignment="1">
      <alignment horizontal="left"/>
    </xf>
    <xf numFmtId="0" fontId="45" fillId="0" borderId="0" xfId="2" applyNumberFormat="1" applyFont="1" applyAlignment="1">
      <alignment horizontal="center"/>
    </xf>
    <xf numFmtId="0" fontId="45" fillId="0" borderId="0" xfId="2" applyNumberFormat="1" applyFont="1"/>
    <xf numFmtId="0" fontId="42" fillId="9" borderId="57" xfId="0" applyFont="1" applyFill="1" applyBorder="1" applyAlignment="1">
      <alignment vertical="top" wrapText="1"/>
    </xf>
    <xf numFmtId="9" fontId="41" fillId="9" borderId="53" xfId="3" applyFont="1" applyFill="1" applyBorder="1" applyAlignment="1">
      <alignment horizontal="right" vertical="center" wrapText="1"/>
    </xf>
    <xf numFmtId="168" fontId="41" fillId="9" borderId="51" xfId="3" applyNumberFormat="1" applyFont="1" applyFill="1" applyBorder="1" applyAlignment="1">
      <alignment horizontal="right" vertical="center" wrapText="1"/>
    </xf>
    <xf numFmtId="0" fontId="48" fillId="0" borderId="0" xfId="0" applyFont="1" applyAlignment="1">
      <alignment textRotation="45"/>
    </xf>
    <xf numFmtId="4" fontId="16" fillId="6" borderId="24" xfId="5" applyNumberFormat="1" applyFont="1" applyFill="1" applyBorder="1" applyAlignment="1">
      <alignment vertical="center"/>
    </xf>
    <xf numFmtId="0" fontId="3" fillId="3" borderId="1" xfId="4" applyFont="1" applyFill="1" applyBorder="1" applyAlignment="1">
      <alignment horizontal="center"/>
    </xf>
    <xf numFmtId="0" fontId="3" fillId="3" borderId="60" xfId="4" applyFont="1" applyFill="1" applyBorder="1" applyAlignment="1">
      <alignment horizontal="center" wrapText="1"/>
    </xf>
    <xf numFmtId="0" fontId="3" fillId="3" borderId="61" xfId="4" applyFont="1" applyFill="1" applyBorder="1" applyAlignment="1">
      <alignment horizontal="center" wrapText="1"/>
    </xf>
    <xf numFmtId="0" fontId="3" fillId="3" borderId="46" xfId="4" applyFont="1" applyFill="1" applyBorder="1" applyAlignment="1">
      <alignment horizontal="center" wrapText="1"/>
    </xf>
    <xf numFmtId="0" fontId="3" fillId="3" borderId="43" xfId="4" applyFont="1" applyFill="1" applyBorder="1" applyAlignment="1">
      <alignment horizontal="center" wrapText="1"/>
    </xf>
    <xf numFmtId="164" fontId="17" fillId="2" borderId="63" xfId="2" applyFont="1" applyFill="1" applyBorder="1" applyAlignment="1">
      <alignment horizontal="center" vertical="center"/>
    </xf>
    <xf numFmtId="174" fontId="17" fillId="2" borderId="64" xfId="2" applyNumberFormat="1" applyFont="1" applyFill="1" applyBorder="1" applyAlignment="1">
      <alignment horizontal="center" vertical="center"/>
    </xf>
    <xf numFmtId="4" fontId="16" fillId="6" borderId="4" xfId="5" applyNumberFormat="1" applyFont="1" applyFill="1" applyBorder="1" applyAlignment="1">
      <alignment horizontal="center" vertical="center"/>
    </xf>
    <xf numFmtId="13" fontId="17" fillId="2" borderId="60" xfId="2" applyNumberFormat="1" applyFont="1" applyFill="1" applyBorder="1" applyAlignment="1">
      <alignment horizontal="center" vertical="center"/>
    </xf>
    <xf numFmtId="164" fontId="17" fillId="2" borderId="3" xfId="2" applyFont="1" applyFill="1" applyBorder="1" applyAlignment="1">
      <alignment horizontal="center" vertical="center"/>
    </xf>
    <xf numFmtId="164" fontId="17" fillId="2" borderId="67" xfId="2" applyFont="1" applyFill="1" applyBorder="1" applyAlignment="1">
      <alignment horizontal="center" vertical="center"/>
    </xf>
    <xf numFmtId="174" fontId="17" fillId="2" borderId="68" xfId="2" applyNumberFormat="1" applyFont="1" applyFill="1" applyBorder="1" applyAlignment="1">
      <alignment horizontal="center" vertical="center"/>
    </xf>
    <xf numFmtId="166" fontId="0" fillId="2" borderId="0" xfId="2" applyNumberFormat="1" applyFont="1" applyFill="1"/>
    <xf numFmtId="0" fontId="0" fillId="0" borderId="70" xfId="0" applyBorder="1"/>
    <xf numFmtId="13" fontId="17" fillId="2" borderId="72" xfId="2" applyNumberFormat="1" applyFont="1" applyFill="1" applyBorder="1" applyAlignment="1">
      <alignment horizontal="center" vertical="center"/>
    </xf>
    <xf numFmtId="164" fontId="17" fillId="2" borderId="2" xfId="2" applyFont="1" applyFill="1" applyBorder="1" applyAlignment="1">
      <alignment horizontal="center" vertical="center"/>
    </xf>
    <xf numFmtId="164" fontId="17" fillId="0" borderId="73" xfId="2" applyFont="1" applyBorder="1" applyAlignment="1">
      <alignment horizontal="center" vertical="center"/>
    </xf>
    <xf numFmtId="0" fontId="0" fillId="0" borderId="75" xfId="0" applyBorder="1"/>
    <xf numFmtId="164" fontId="17" fillId="2" borderId="69" xfId="2" applyFont="1" applyFill="1" applyBorder="1" applyAlignment="1">
      <alignment horizontal="center" vertical="center"/>
    </xf>
    <xf numFmtId="175" fontId="17" fillId="2" borderId="67" xfId="2" applyNumberFormat="1" applyFont="1" applyFill="1" applyBorder="1" applyAlignment="1">
      <alignment horizontal="center" vertical="center"/>
    </xf>
    <xf numFmtId="164" fontId="17" fillId="2" borderId="74" xfId="2" applyFont="1" applyFill="1" applyBorder="1" applyAlignment="1">
      <alignment horizontal="center" vertical="center"/>
    </xf>
    <xf numFmtId="164" fontId="17" fillId="2" borderId="72" xfId="2" applyFont="1" applyFill="1" applyBorder="1" applyAlignment="1">
      <alignment horizontal="center" vertical="center"/>
    </xf>
    <xf numFmtId="174" fontId="17" fillId="0" borderId="50" xfId="2" applyNumberFormat="1" applyFont="1" applyBorder="1" applyAlignment="1">
      <alignment horizontal="center" vertical="center"/>
    </xf>
    <xf numFmtId="0" fontId="3" fillId="3" borderId="60" xfId="4" applyFont="1" applyFill="1" applyBorder="1" applyAlignment="1">
      <alignment horizontal="center"/>
    </xf>
    <xf numFmtId="4" fontId="16" fillId="6" borderId="58" xfId="5" applyNumberFormat="1" applyFont="1" applyFill="1" applyBorder="1" applyAlignment="1">
      <alignment horizontal="center" vertical="center"/>
    </xf>
    <xf numFmtId="166" fontId="17" fillId="2" borderId="68" xfId="2" applyNumberFormat="1" applyFont="1" applyFill="1" applyBorder="1" applyAlignment="1">
      <alignment horizontal="center" vertical="center"/>
    </xf>
    <xf numFmtId="164" fontId="17" fillId="2" borderId="0" xfId="2" applyFont="1" applyFill="1" applyBorder="1" applyAlignment="1">
      <alignment horizontal="center" vertical="center"/>
    </xf>
    <xf numFmtId="164" fontId="17" fillId="2" borderId="0" xfId="2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55" fillId="2" borderId="0" xfId="0" applyFont="1" applyFill="1" applyAlignment="1">
      <alignment horizontal="right"/>
    </xf>
    <xf numFmtId="0" fontId="55" fillId="2" borderId="0" xfId="0" applyFont="1" applyFill="1" applyAlignment="1">
      <alignment horizontal="left"/>
    </xf>
    <xf numFmtId="171" fontId="17" fillId="2" borderId="67" xfId="2" applyNumberFormat="1" applyFont="1" applyFill="1" applyBorder="1" applyAlignment="1">
      <alignment horizontal="center" vertical="center"/>
    </xf>
    <xf numFmtId="0" fontId="3" fillId="3" borderId="77" xfId="4" applyFont="1" applyFill="1" applyBorder="1" applyAlignment="1">
      <alignment horizontal="center" wrapText="1"/>
    </xf>
    <xf numFmtId="0" fontId="17" fillId="2" borderId="0" xfId="3" applyNumberFormat="1" applyFont="1" applyFill="1" applyBorder="1" applyAlignment="1">
      <alignment horizontal="center" vertical="center"/>
    </xf>
    <xf numFmtId="9" fontId="16" fillId="2" borderId="0" xfId="3" applyFont="1" applyFill="1" applyBorder="1" applyAlignment="1">
      <alignment horizontal="left" vertical="center"/>
    </xf>
    <xf numFmtId="164" fontId="17" fillId="2" borderId="79" xfId="2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164" fontId="17" fillId="2" borderId="81" xfId="2" applyFont="1" applyFill="1" applyBorder="1" applyAlignment="1">
      <alignment vertical="center" wrapText="1"/>
    </xf>
    <xf numFmtId="0" fontId="3" fillId="3" borderId="44" xfId="4" applyFont="1" applyFill="1" applyBorder="1" applyAlignment="1">
      <alignment horizontal="center"/>
    </xf>
    <xf numFmtId="4" fontId="16" fillId="11" borderId="83" xfId="5" applyNumberFormat="1" applyFont="1" applyFill="1" applyBorder="1" applyAlignment="1">
      <alignment horizontal="center" vertical="center"/>
    </xf>
    <xf numFmtId="4" fontId="16" fillId="6" borderId="84" xfId="5" applyNumberFormat="1" applyFont="1" applyFill="1" applyBorder="1" applyAlignment="1">
      <alignment horizontal="center" vertical="center"/>
    </xf>
    <xf numFmtId="2" fontId="17" fillId="2" borderId="82" xfId="3" applyNumberFormat="1" applyFont="1" applyFill="1" applyBorder="1" applyAlignment="1">
      <alignment horizontal="center" vertical="center"/>
    </xf>
    <xf numFmtId="0" fontId="36" fillId="3" borderId="47" xfId="2" applyNumberFormat="1" applyFont="1" applyFill="1" applyBorder="1" applyAlignment="1">
      <alignment horizontal="center" vertical="center" wrapText="1"/>
    </xf>
    <xf numFmtId="0" fontId="36" fillId="3" borderId="47" xfId="2" applyNumberFormat="1" applyFont="1" applyFill="1" applyBorder="1" applyAlignment="1">
      <alignment horizontal="center" vertical="center"/>
    </xf>
    <xf numFmtId="166" fontId="65" fillId="0" borderId="75" xfId="2" applyNumberFormat="1" applyFont="1" applyFill="1" applyBorder="1" applyAlignment="1">
      <alignment horizontal="center"/>
    </xf>
    <xf numFmtId="166" fontId="65" fillId="0" borderId="0" xfId="2" applyNumberFormat="1" applyFont="1" applyFill="1" applyBorder="1" applyAlignment="1">
      <alignment horizontal="center"/>
    </xf>
    <xf numFmtId="0" fontId="3" fillId="3" borderId="0" xfId="4" applyFont="1" applyFill="1" applyAlignment="1">
      <alignment horizontal="center"/>
    </xf>
    <xf numFmtId="4" fontId="66" fillId="6" borderId="48" xfId="5" applyNumberFormat="1" applyFont="1" applyFill="1" applyBorder="1" applyAlignment="1">
      <alignment horizontal="center" vertical="center"/>
    </xf>
    <xf numFmtId="10" fontId="67" fillId="2" borderId="49" xfId="3" applyNumberFormat="1" applyFont="1" applyFill="1" applyBorder="1" applyAlignment="1">
      <alignment horizontal="center" vertical="center"/>
    </xf>
    <xf numFmtId="167" fontId="67" fillId="2" borderId="49" xfId="5" applyNumberFormat="1" applyFont="1" applyFill="1" applyBorder="1" applyAlignment="1">
      <alignment horizontal="center" vertical="center"/>
    </xf>
    <xf numFmtId="170" fontId="67" fillId="2" borderId="49" xfId="5" applyNumberFormat="1" applyFont="1" applyFill="1" applyBorder="1" applyAlignment="1">
      <alignment horizontal="center" vertical="center"/>
    </xf>
    <xf numFmtId="9" fontId="66" fillId="2" borderId="50" xfId="3" applyFont="1" applyFill="1" applyBorder="1" applyAlignment="1">
      <alignment horizontal="center" vertical="center"/>
    </xf>
    <xf numFmtId="168" fontId="16" fillId="2" borderId="50" xfId="3" applyNumberFormat="1" applyFont="1" applyFill="1" applyBorder="1" applyAlignment="1">
      <alignment horizontal="center" vertical="center"/>
    </xf>
    <xf numFmtId="4" fontId="67" fillId="2" borderId="49" xfId="5" applyNumberFormat="1" applyFont="1" applyFill="1" applyBorder="1" applyAlignment="1">
      <alignment horizontal="center" vertical="center"/>
    </xf>
    <xf numFmtId="10" fontId="68" fillId="2" borderId="49" xfId="3" applyNumberFormat="1" applyFont="1" applyFill="1" applyBorder="1" applyAlignment="1">
      <alignment horizontal="center" vertical="center"/>
    </xf>
    <xf numFmtId="3" fontId="67" fillId="2" borderId="49" xfId="5" applyNumberFormat="1" applyFont="1" applyFill="1" applyBorder="1" applyAlignment="1">
      <alignment horizontal="center" vertical="center"/>
    </xf>
    <xf numFmtId="10" fontId="67" fillId="0" borderId="49" xfId="3" applyNumberFormat="1" applyFont="1" applyFill="1" applyBorder="1" applyAlignment="1">
      <alignment horizontal="center" vertical="center"/>
    </xf>
    <xf numFmtId="167" fontId="67" fillId="2" borderId="87" xfId="5" applyNumberFormat="1" applyFont="1" applyFill="1" applyBorder="1" applyAlignment="1">
      <alignment horizontal="center" vertical="center"/>
    </xf>
    <xf numFmtId="170" fontId="67" fillId="2" borderId="87" xfId="5" applyNumberFormat="1" applyFont="1" applyFill="1" applyBorder="1" applyAlignment="1">
      <alignment horizontal="center" vertical="center"/>
    </xf>
    <xf numFmtId="9" fontId="66" fillId="2" borderId="66" xfId="3" applyFont="1" applyFill="1" applyBorder="1" applyAlignment="1">
      <alignment horizontal="center" vertical="center"/>
    </xf>
    <xf numFmtId="168" fontId="16" fillId="2" borderId="66" xfId="3" applyNumberFormat="1" applyFont="1" applyFill="1" applyBorder="1" applyAlignment="1">
      <alignment horizontal="center" vertical="center"/>
    </xf>
    <xf numFmtId="4" fontId="67" fillId="2" borderId="87" xfId="5" applyNumberFormat="1" applyFont="1" applyFill="1" applyBorder="1" applyAlignment="1">
      <alignment horizontal="center" vertical="center"/>
    </xf>
    <xf numFmtId="10" fontId="67" fillId="0" borderId="87" xfId="3" applyNumberFormat="1" applyFont="1" applyFill="1" applyBorder="1" applyAlignment="1">
      <alignment horizontal="center" vertical="center"/>
    </xf>
    <xf numFmtId="167" fontId="67" fillId="2" borderId="88" xfId="5" applyNumberFormat="1" applyFont="1" applyFill="1" applyBorder="1" applyAlignment="1">
      <alignment horizontal="center" vertical="center"/>
    </xf>
    <xf numFmtId="170" fontId="67" fillId="2" borderId="88" xfId="5" applyNumberFormat="1" applyFont="1" applyFill="1" applyBorder="1" applyAlignment="1">
      <alignment horizontal="center" vertical="center"/>
    </xf>
    <xf numFmtId="9" fontId="66" fillId="2" borderId="89" xfId="3" applyFont="1" applyFill="1" applyBorder="1" applyAlignment="1">
      <alignment horizontal="center" vertical="center"/>
    </xf>
    <xf numFmtId="168" fontId="16" fillId="2" borderId="89" xfId="3" applyNumberFormat="1" applyFont="1" applyFill="1" applyBorder="1" applyAlignment="1">
      <alignment horizontal="center" vertical="center"/>
    </xf>
    <xf numFmtId="4" fontId="67" fillId="2" borderId="88" xfId="5" applyNumberFormat="1" applyFont="1" applyFill="1" applyBorder="1" applyAlignment="1">
      <alignment horizontal="center" vertical="center"/>
    </xf>
    <xf numFmtId="10" fontId="67" fillId="0" borderId="88" xfId="3" applyNumberFormat="1" applyFont="1" applyFill="1" applyBorder="1" applyAlignment="1">
      <alignment horizontal="center" vertical="center"/>
    </xf>
    <xf numFmtId="10" fontId="67" fillId="2" borderId="90" xfId="3" applyNumberFormat="1" applyFont="1" applyFill="1" applyBorder="1" applyAlignment="1">
      <alignment horizontal="center" vertical="center"/>
    </xf>
    <xf numFmtId="167" fontId="67" fillId="2" borderId="90" xfId="5" applyNumberFormat="1" applyFont="1" applyFill="1" applyBorder="1" applyAlignment="1">
      <alignment horizontal="center" vertical="center"/>
    </xf>
    <xf numFmtId="170" fontId="67" fillId="2" borderId="90" xfId="5" applyNumberFormat="1" applyFont="1" applyFill="1" applyBorder="1" applyAlignment="1">
      <alignment horizontal="center" vertical="center"/>
    </xf>
    <xf numFmtId="9" fontId="66" fillId="2" borderId="91" xfId="3" applyFont="1" applyFill="1" applyBorder="1" applyAlignment="1">
      <alignment horizontal="center" vertical="center"/>
    </xf>
    <xf numFmtId="168" fontId="16" fillId="2" borderId="91" xfId="3" applyNumberFormat="1" applyFont="1" applyFill="1" applyBorder="1" applyAlignment="1">
      <alignment horizontal="center" vertical="center"/>
    </xf>
    <xf numFmtId="4" fontId="67" fillId="2" borderId="90" xfId="5" applyNumberFormat="1" applyFont="1" applyFill="1" applyBorder="1" applyAlignment="1">
      <alignment horizontal="center" vertical="center"/>
    </xf>
    <xf numFmtId="10" fontId="67" fillId="0" borderId="90" xfId="3" applyNumberFormat="1" applyFont="1" applyFill="1" applyBorder="1" applyAlignment="1">
      <alignment horizontal="center" vertical="center"/>
    </xf>
    <xf numFmtId="3" fontId="67" fillId="2" borderId="90" xfId="5" applyNumberFormat="1" applyFont="1" applyFill="1" applyBorder="1" applyAlignment="1">
      <alignment horizontal="center" vertical="center"/>
    </xf>
    <xf numFmtId="17" fontId="61" fillId="13" borderId="0" xfId="3" applyNumberFormat="1" applyFont="1" applyFill="1" applyBorder="1" applyAlignment="1">
      <alignment vertical="center"/>
    </xf>
    <xf numFmtId="14" fontId="69" fillId="14" borderId="92" xfId="4" applyNumberFormat="1" applyFont="1" applyFill="1" applyBorder="1" applyAlignment="1">
      <alignment horizontal="center"/>
    </xf>
    <xf numFmtId="166" fontId="70" fillId="0" borderId="93" xfId="2" applyNumberFormat="1" applyFont="1" applyFill="1" applyBorder="1" applyAlignment="1">
      <alignment horizontal="center"/>
    </xf>
    <xf numFmtId="166" fontId="70" fillId="0" borderId="70" xfId="2" applyNumberFormat="1" applyFont="1" applyFill="1" applyBorder="1" applyAlignment="1">
      <alignment horizontal="center"/>
    </xf>
    <xf numFmtId="166" fontId="61" fillId="0" borderId="70" xfId="2" applyNumberFormat="1" applyFont="1" applyFill="1" applyBorder="1" applyAlignment="1">
      <alignment horizontal="center"/>
    </xf>
    <xf numFmtId="166" fontId="71" fillId="0" borderId="70" xfId="2" applyNumberFormat="1" applyFont="1" applyFill="1" applyBorder="1" applyAlignment="1">
      <alignment horizontal="center"/>
    </xf>
    <xf numFmtId="166" fontId="61" fillId="0" borderId="0" xfId="2" applyNumberFormat="1" applyFont="1" applyFill="1" applyBorder="1" applyAlignment="1">
      <alignment horizontal="center"/>
    </xf>
    <xf numFmtId="166" fontId="70" fillId="0" borderId="0" xfId="2" applyNumberFormat="1" applyFont="1" applyFill="1" applyBorder="1" applyAlignment="1">
      <alignment horizontal="center"/>
    </xf>
    <xf numFmtId="168" fontId="2" fillId="13" borderId="0" xfId="3" applyNumberFormat="1" applyFont="1" applyFill="1" applyBorder="1" applyAlignment="1">
      <alignment vertical="center" wrapText="1"/>
    </xf>
    <xf numFmtId="9" fontId="61" fillId="13" borderId="0" xfId="3" applyFont="1" applyFill="1" applyBorder="1"/>
    <xf numFmtId="14" fontId="72" fillId="14" borderId="92" xfId="4" applyNumberFormat="1" applyFont="1" applyFill="1" applyBorder="1" applyAlignment="1">
      <alignment horizontal="center"/>
    </xf>
    <xf numFmtId="14" fontId="36" fillId="3" borderId="0" xfId="4" applyNumberFormat="1" applyFont="1" applyFill="1" applyAlignment="1">
      <alignment horizontal="center"/>
    </xf>
    <xf numFmtId="4" fontId="66" fillId="6" borderId="0" xfId="5" applyNumberFormat="1" applyFont="1" applyFill="1" applyAlignment="1">
      <alignment horizontal="center" vertical="center"/>
    </xf>
    <xf numFmtId="10" fontId="67" fillId="2" borderId="0" xfId="3" applyNumberFormat="1" applyFont="1" applyFill="1" applyBorder="1" applyAlignment="1">
      <alignment horizontal="center" vertical="center"/>
    </xf>
    <xf numFmtId="167" fontId="67" fillId="2" borderId="0" xfId="5" applyNumberFormat="1" applyFont="1" applyFill="1" applyAlignment="1">
      <alignment horizontal="center" vertical="center"/>
    </xf>
    <xf numFmtId="170" fontId="67" fillId="2" borderId="0" xfId="5" applyNumberFormat="1" applyFont="1" applyFill="1" applyAlignment="1">
      <alignment horizontal="center" vertical="center"/>
    </xf>
    <xf numFmtId="4" fontId="16" fillId="6" borderId="0" xfId="5" applyNumberFormat="1" applyFont="1" applyFill="1" applyAlignment="1">
      <alignment horizontal="center" vertical="center"/>
    </xf>
    <xf numFmtId="9" fontId="66" fillId="2" borderId="0" xfId="3" applyFont="1" applyFill="1" applyBorder="1" applyAlignment="1">
      <alignment horizontal="center" vertical="center"/>
    </xf>
    <xf numFmtId="168" fontId="16" fillId="2" borderId="0" xfId="3" applyNumberFormat="1" applyFont="1" applyFill="1" applyBorder="1" applyAlignment="1">
      <alignment horizontal="center" vertical="center"/>
    </xf>
    <xf numFmtId="4" fontId="67" fillId="2" borderId="0" xfId="5" applyNumberFormat="1" applyFont="1" applyFill="1" applyAlignment="1">
      <alignment horizontal="center" vertical="center"/>
    </xf>
    <xf numFmtId="10" fontId="67" fillId="0" borderId="0" xfId="3" applyNumberFormat="1" applyFont="1" applyFill="1" applyBorder="1" applyAlignment="1">
      <alignment horizontal="center" vertical="center"/>
    </xf>
    <xf numFmtId="3" fontId="67" fillId="2" borderId="0" xfId="5" applyNumberFormat="1" applyFont="1" applyFill="1" applyAlignment="1">
      <alignment horizontal="center" vertical="center"/>
    </xf>
    <xf numFmtId="10" fontId="67" fillId="11" borderId="0" xfId="3" applyNumberFormat="1" applyFont="1" applyFill="1" applyBorder="1" applyAlignment="1">
      <alignment horizontal="center" vertical="center"/>
    </xf>
    <xf numFmtId="10" fontId="67" fillId="15" borderId="0" xfId="3" applyNumberFormat="1" applyFont="1" applyFill="1" applyBorder="1" applyAlignment="1">
      <alignment horizontal="center" vertical="center"/>
    </xf>
    <xf numFmtId="10" fontId="67" fillId="12" borderId="0" xfId="3" applyNumberFormat="1" applyFont="1" applyFill="1" applyBorder="1" applyAlignment="1">
      <alignment horizontal="center" vertical="center"/>
    </xf>
    <xf numFmtId="4" fontId="67" fillId="15" borderId="49" xfId="5" applyNumberFormat="1" applyFont="1" applyFill="1" applyBorder="1" applyAlignment="1">
      <alignment horizontal="center" vertical="center"/>
    </xf>
    <xf numFmtId="4" fontId="67" fillId="15" borderId="87" xfId="5" applyNumberFormat="1" applyFont="1" applyFill="1" applyBorder="1" applyAlignment="1">
      <alignment horizontal="center" vertical="center"/>
    </xf>
    <xf numFmtId="4" fontId="67" fillId="12" borderId="49" xfId="5" applyNumberFormat="1" applyFont="1" applyFill="1" applyBorder="1" applyAlignment="1">
      <alignment horizontal="center" vertical="center"/>
    </xf>
    <xf numFmtId="4" fontId="67" fillId="16" borderId="49" xfId="5" applyNumberFormat="1" applyFont="1" applyFill="1" applyBorder="1" applyAlignment="1">
      <alignment horizontal="center" vertical="center"/>
    </xf>
    <xf numFmtId="4" fontId="67" fillId="11" borderId="49" xfId="5" applyNumberFormat="1" applyFont="1" applyFill="1" applyBorder="1" applyAlignment="1">
      <alignment horizontal="center" vertical="center"/>
    </xf>
    <xf numFmtId="4" fontId="67" fillId="17" borderId="49" xfId="5" applyNumberFormat="1" applyFont="1" applyFill="1" applyBorder="1" applyAlignment="1">
      <alignment horizontal="center" vertical="center"/>
    </xf>
    <xf numFmtId="168" fontId="16" fillId="16" borderId="50" xfId="3" applyNumberFormat="1" applyFont="1" applyFill="1" applyBorder="1" applyAlignment="1">
      <alignment horizontal="center" vertical="center"/>
    </xf>
    <xf numFmtId="168" fontId="16" fillId="16" borderId="66" xfId="3" applyNumberFormat="1" applyFont="1" applyFill="1" applyBorder="1" applyAlignment="1">
      <alignment horizontal="center" vertical="center"/>
    </xf>
    <xf numFmtId="10" fontId="67" fillId="15" borderId="49" xfId="3" applyNumberFormat="1" applyFont="1" applyFill="1" applyBorder="1" applyAlignment="1">
      <alignment horizontal="center" vertical="center"/>
    </xf>
    <xf numFmtId="9" fontId="8" fillId="18" borderId="0" xfId="3" applyFont="1" applyFill="1" applyBorder="1"/>
    <xf numFmtId="166" fontId="0" fillId="18" borderId="0" xfId="2" applyNumberFormat="1" applyFont="1" applyFill="1"/>
    <xf numFmtId="0" fontId="0" fillId="18" borderId="0" xfId="0" applyFill="1"/>
    <xf numFmtId="166" fontId="55" fillId="18" borderId="0" xfId="0" applyNumberFormat="1" applyFont="1" applyFill="1"/>
    <xf numFmtId="0" fontId="55" fillId="18" borderId="0" xfId="0" applyFont="1" applyFill="1"/>
    <xf numFmtId="168" fontId="2" fillId="2" borderId="0" xfId="3" applyNumberFormat="1" applyFont="1" applyFill="1" applyBorder="1" applyAlignment="1">
      <alignment horizontal="center" vertical="center" wrapText="1"/>
    </xf>
    <xf numFmtId="9" fontId="74" fillId="19" borderId="1" xfId="3" applyFont="1" applyFill="1" applyBorder="1" applyAlignment="1">
      <alignment vertical="center" wrapText="1"/>
    </xf>
    <xf numFmtId="9" fontId="74" fillId="2" borderId="4" xfId="3" applyFont="1" applyFill="1" applyBorder="1" applyAlignment="1">
      <alignment vertical="center" wrapText="1"/>
    </xf>
    <xf numFmtId="9" fontId="74" fillId="2" borderId="94" xfId="3" applyFont="1" applyFill="1" applyBorder="1" applyAlignment="1">
      <alignment horizontal="center"/>
    </xf>
    <xf numFmtId="9" fontId="74" fillId="19" borderId="1" xfId="3" applyFont="1" applyFill="1" applyBorder="1" applyAlignment="1">
      <alignment horizontal="center" wrapText="1"/>
    </xf>
    <xf numFmtId="9" fontId="74" fillId="2" borderId="4" xfId="3" applyFont="1" applyFill="1" applyBorder="1" applyAlignment="1">
      <alignment horizontal="center" wrapText="1"/>
    </xf>
    <xf numFmtId="9" fontId="74" fillId="2" borderId="95" xfId="3" applyFont="1" applyFill="1" applyBorder="1" applyAlignment="1">
      <alignment horizontal="center"/>
    </xf>
    <xf numFmtId="166" fontId="73" fillId="2" borderId="0" xfId="2" applyNumberFormat="1" applyFont="1" applyFill="1"/>
    <xf numFmtId="166" fontId="65" fillId="19" borderId="1" xfId="3" applyNumberFormat="1" applyFont="1" applyFill="1" applyBorder="1" applyAlignment="1">
      <alignment horizontal="center" wrapText="1"/>
    </xf>
    <xf numFmtId="166" fontId="65" fillId="2" borderId="1" xfId="3" applyNumberFormat="1" applyFont="1" applyFill="1" applyBorder="1" applyAlignment="1">
      <alignment horizontal="center" wrapText="1"/>
    </xf>
    <xf numFmtId="3" fontId="16" fillId="6" borderId="50" xfId="5" applyNumberFormat="1" applyFont="1" applyFill="1" applyBorder="1" applyAlignment="1">
      <alignment horizontal="center" vertical="center"/>
    </xf>
    <xf numFmtId="14" fontId="16" fillId="0" borderId="0" xfId="5" applyNumberFormat="1" applyFont="1" applyAlignment="1">
      <alignment horizontal="center" vertical="center"/>
    </xf>
    <xf numFmtId="0" fontId="75" fillId="20" borderId="96" xfId="0" applyFont="1" applyFill="1" applyBorder="1" applyAlignment="1">
      <alignment horizontal="center" vertical="center" wrapText="1" readingOrder="1"/>
    </xf>
    <xf numFmtId="166" fontId="2" fillId="2" borderId="0" xfId="2" applyNumberFormat="1" applyFont="1" applyFill="1" applyAlignment="1">
      <alignment horizontal="center"/>
    </xf>
    <xf numFmtId="0" fontId="76" fillId="22" borderId="99" xfId="0" applyFont="1" applyFill="1" applyBorder="1" applyAlignment="1">
      <alignment horizontal="center" vertical="center" wrapText="1" readingOrder="1"/>
    </xf>
    <xf numFmtId="0" fontId="76" fillId="21" borderId="99" xfId="0" applyFont="1" applyFill="1" applyBorder="1" applyAlignment="1">
      <alignment horizontal="center" vertical="center" wrapText="1" readingOrder="1"/>
    </xf>
    <xf numFmtId="166" fontId="73" fillId="2" borderId="1" xfId="2" applyNumberFormat="1" applyFont="1" applyFill="1" applyBorder="1"/>
    <xf numFmtId="3" fontId="16" fillId="0" borderId="0" xfId="5" applyNumberFormat="1" applyFont="1" applyAlignment="1">
      <alignment horizontal="center" vertical="center"/>
    </xf>
    <xf numFmtId="3" fontId="16" fillId="6" borderId="100" xfId="5" applyNumberFormat="1" applyFont="1" applyFill="1" applyBorder="1" applyAlignment="1">
      <alignment horizontal="center" vertical="center"/>
    </xf>
    <xf numFmtId="17" fontId="73" fillId="2" borderId="0" xfId="3" applyNumberFormat="1" applyFont="1" applyFill="1"/>
    <xf numFmtId="14" fontId="36" fillId="3" borderId="101" xfId="4" applyNumberFormat="1" applyFont="1" applyFill="1" applyBorder="1" applyAlignment="1">
      <alignment horizontal="center"/>
    </xf>
    <xf numFmtId="166" fontId="36" fillId="3" borderId="1" xfId="4" applyNumberFormat="1" applyFont="1" applyFill="1" applyBorder="1" applyAlignment="1">
      <alignment horizontal="center"/>
    </xf>
    <xf numFmtId="9" fontId="73" fillId="2" borderId="0" xfId="3" applyFont="1" applyFill="1" applyAlignment="1">
      <alignment horizontal="left"/>
    </xf>
    <xf numFmtId="166" fontId="74" fillId="2" borderId="0" xfId="2" applyNumberFormat="1" applyFont="1" applyFill="1"/>
    <xf numFmtId="14" fontId="36" fillId="3" borderId="1" xfId="4" applyNumberFormat="1" applyFont="1" applyFill="1" applyBorder="1" applyAlignment="1">
      <alignment horizontal="center"/>
    </xf>
    <xf numFmtId="166" fontId="8" fillId="2" borderId="0" xfId="2" applyNumberFormat="1" applyFont="1" applyFill="1"/>
    <xf numFmtId="9" fontId="73" fillId="2" borderId="0" xfId="3" applyFont="1" applyFill="1" applyAlignment="1">
      <alignment horizontal="center"/>
    </xf>
    <xf numFmtId="172" fontId="8" fillId="2" borderId="0" xfId="2" applyNumberFormat="1" applyFont="1" applyFill="1" applyAlignment="1">
      <alignment horizontal="center"/>
    </xf>
    <xf numFmtId="164" fontId="8" fillId="2" borderId="0" xfId="2" applyFont="1" applyFill="1" applyAlignment="1">
      <alignment horizontal="center" vertical="center"/>
    </xf>
    <xf numFmtId="10" fontId="8" fillId="2" borderId="0" xfId="3" applyNumberFormat="1" applyFont="1" applyFill="1" applyAlignment="1">
      <alignment horizontal="center"/>
    </xf>
    <xf numFmtId="176" fontId="67" fillId="2" borderId="49" xfId="5" applyNumberFormat="1" applyFont="1" applyFill="1" applyBorder="1" applyAlignment="1">
      <alignment horizontal="center" vertical="center"/>
    </xf>
    <xf numFmtId="168" fontId="2" fillId="2" borderId="102" xfId="3" applyNumberFormat="1" applyFont="1" applyFill="1" applyBorder="1" applyAlignment="1">
      <alignment horizontal="center" vertical="center" wrapText="1"/>
    </xf>
    <xf numFmtId="14" fontId="36" fillId="0" borderId="0" xfId="4" applyNumberFormat="1" applyFont="1" applyAlignment="1">
      <alignment horizontal="center"/>
    </xf>
    <xf numFmtId="4" fontId="66" fillId="0" borderId="0" xfId="5" applyNumberFormat="1" applyFont="1" applyAlignment="1">
      <alignment horizontal="center" vertical="center"/>
    </xf>
    <xf numFmtId="167" fontId="67" fillId="0" borderId="0" xfId="5" applyNumberFormat="1" applyFont="1" applyAlignment="1">
      <alignment horizontal="center" vertical="center"/>
    </xf>
    <xf numFmtId="170" fontId="67" fillId="0" borderId="0" xfId="5" applyNumberFormat="1" applyFont="1" applyAlignment="1">
      <alignment horizontal="center" vertical="center"/>
    </xf>
    <xf numFmtId="4" fontId="16" fillId="0" borderId="0" xfId="5" applyNumberFormat="1" applyFont="1" applyAlignment="1">
      <alignment horizontal="center" vertical="center"/>
    </xf>
    <xf numFmtId="9" fontId="66" fillId="0" borderId="0" xfId="3" applyFont="1" applyFill="1" applyBorder="1" applyAlignment="1">
      <alignment horizontal="center" vertical="center"/>
    </xf>
    <xf numFmtId="168" fontId="16" fillId="0" borderId="0" xfId="3" applyNumberFormat="1" applyFont="1" applyFill="1" applyBorder="1" applyAlignment="1">
      <alignment horizontal="center" vertical="center"/>
    </xf>
    <xf numFmtId="4" fontId="67" fillId="0" borderId="0" xfId="5" applyNumberFormat="1" applyFont="1" applyAlignment="1">
      <alignment horizontal="center" vertical="center"/>
    </xf>
    <xf numFmtId="3" fontId="67" fillId="0" borderId="0" xfId="5" applyNumberFormat="1" applyFont="1" applyAlignment="1">
      <alignment horizontal="center" vertical="center"/>
    </xf>
    <xf numFmtId="14" fontId="14" fillId="5" borderId="0" xfId="4" applyNumberFormat="1" applyFont="1" applyFill="1" applyAlignment="1">
      <alignment horizontal="center" vertical="center"/>
    </xf>
    <xf numFmtId="168" fontId="16" fillId="4" borderId="16" xfId="3" applyNumberFormat="1" applyFont="1" applyFill="1" applyBorder="1" applyAlignment="1">
      <alignment vertical="center"/>
    </xf>
    <xf numFmtId="168" fontId="16" fillId="6" borderId="16" xfId="5" applyNumberFormat="1" applyFont="1" applyFill="1" applyBorder="1" applyAlignment="1">
      <alignment vertical="center"/>
    </xf>
    <xf numFmtId="0" fontId="25" fillId="7" borderId="14" xfId="5" applyFont="1" applyFill="1" applyBorder="1"/>
    <xf numFmtId="170" fontId="16" fillId="6" borderId="16" xfId="5" applyNumberFormat="1" applyFont="1" applyFill="1" applyBorder="1" applyAlignment="1">
      <alignment vertical="center"/>
    </xf>
    <xf numFmtId="4" fontId="16" fillId="6" borderId="16" xfId="5" applyNumberFormat="1" applyFont="1" applyFill="1" applyBorder="1" applyAlignment="1">
      <alignment vertical="center"/>
    </xf>
    <xf numFmtId="0" fontId="16" fillId="4" borderId="13" xfId="3" applyNumberFormat="1" applyFont="1" applyFill="1" applyBorder="1" applyAlignment="1">
      <alignment horizontal="right" vertical="center" wrapText="1"/>
    </xf>
    <xf numFmtId="10" fontId="16" fillId="4" borderId="13" xfId="3" applyNumberFormat="1" applyFont="1" applyFill="1" applyBorder="1" applyAlignment="1">
      <alignment horizontal="right" vertical="center" wrapText="1"/>
    </xf>
    <xf numFmtId="10" fontId="16" fillId="4" borderId="30" xfId="3" applyNumberFormat="1" applyFont="1" applyFill="1" applyBorder="1" applyAlignment="1">
      <alignment vertical="center"/>
    </xf>
    <xf numFmtId="3" fontId="17" fillId="2" borderId="110" xfId="5" applyNumberFormat="1" applyFont="1" applyFill="1" applyBorder="1" applyAlignment="1">
      <alignment horizontal="center" vertical="center"/>
    </xf>
    <xf numFmtId="0" fontId="84" fillId="0" borderId="0" xfId="0" applyFont="1"/>
    <xf numFmtId="0" fontId="15" fillId="0" borderId="0" xfId="5" applyFont="1"/>
    <xf numFmtId="0" fontId="5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5" fillId="10" borderId="54" xfId="0" applyFont="1" applyFill="1" applyBorder="1" applyAlignment="1">
      <alignment horizontal="right"/>
    </xf>
    <xf numFmtId="0" fontId="84" fillId="0" borderId="0" xfId="0" applyFont="1" applyAlignment="1">
      <alignment horizontal="left" vertical="center"/>
    </xf>
    <xf numFmtId="0" fontId="84" fillId="0" borderId="0" xfId="0" applyFont="1" applyAlignment="1">
      <alignment horizontal="center" vertical="center"/>
    </xf>
    <xf numFmtId="168" fontId="0" fillId="0" borderId="0" xfId="0" applyNumberFormat="1"/>
    <xf numFmtId="166" fontId="0" fillId="0" borderId="0" xfId="0" applyNumberFormat="1"/>
    <xf numFmtId="0" fontId="0" fillId="10" borderId="58" xfId="0" applyFill="1" applyBorder="1"/>
    <xf numFmtId="10" fontId="55" fillId="10" borderId="55" xfId="3" applyNumberFormat="1" applyFont="1" applyFill="1" applyBorder="1"/>
    <xf numFmtId="2" fontId="8" fillId="2" borderId="0" xfId="3" applyNumberFormat="1" applyFont="1" applyFill="1"/>
    <xf numFmtId="166" fontId="87" fillId="0" borderId="0" xfId="0" applyNumberFormat="1" applyFont="1"/>
    <xf numFmtId="166" fontId="55" fillId="0" borderId="0" xfId="2" applyNumberFormat="1" applyFont="1" applyAlignment="1">
      <alignment horizontal="center"/>
    </xf>
    <xf numFmtId="166" fontId="55" fillId="8" borderId="0" xfId="2" applyNumberFormat="1" applyFont="1" applyFill="1" applyAlignment="1">
      <alignment horizontal="center"/>
    </xf>
    <xf numFmtId="166" fontId="0" fillId="8" borderId="0" xfId="2" applyNumberFormat="1" applyFont="1" applyFill="1"/>
    <xf numFmtId="164" fontId="0" fillId="8" borderId="0" xfId="2" applyFont="1" applyFill="1"/>
    <xf numFmtId="0" fontId="4" fillId="0" borderId="0" xfId="0" applyFont="1"/>
    <xf numFmtId="14" fontId="85" fillId="0" borderId="1" xfId="0" applyNumberFormat="1" applyFont="1" applyBorder="1" applyAlignment="1">
      <alignment horizontal="right"/>
    </xf>
    <xf numFmtId="166" fontId="5" fillId="8" borderId="0" xfId="2" applyNumberFormat="1" applyFont="1" applyFill="1" applyAlignment="1">
      <alignment horizontal="center"/>
    </xf>
    <xf numFmtId="3" fontId="15" fillId="2" borderId="0" xfId="5" applyNumberFormat="1" applyFont="1" applyFill="1"/>
    <xf numFmtId="0" fontId="25" fillId="7" borderId="23" xfId="5" applyFont="1" applyFill="1" applyBorder="1"/>
    <xf numFmtId="164" fontId="20" fillId="2" borderId="0" xfId="5" applyNumberFormat="1" applyFont="1" applyFill="1"/>
    <xf numFmtId="14" fontId="0" fillId="0" borderId="0" xfId="0" applyNumberFormat="1"/>
    <xf numFmtId="14" fontId="0" fillId="0" borderId="1" xfId="0" applyNumberFormat="1" applyBorder="1"/>
    <xf numFmtId="0" fontId="55" fillId="0" borderId="1" xfId="0" applyFont="1" applyBorder="1"/>
    <xf numFmtId="0" fontId="55" fillId="0" borderId="1" xfId="0" applyFont="1" applyBorder="1" applyAlignment="1">
      <alignment vertical="center"/>
    </xf>
    <xf numFmtId="0" fontId="0" fillId="6" borderId="1" xfId="0" applyFill="1" applyBorder="1"/>
    <xf numFmtId="14" fontId="0" fillId="6" borderId="1" xfId="0" applyNumberFormat="1" applyFill="1" applyBorder="1"/>
    <xf numFmtId="0" fontId="55" fillId="6" borderId="1" xfId="0" applyFont="1" applyFill="1" applyBorder="1"/>
    <xf numFmtId="14" fontId="2" fillId="6" borderId="1" xfId="4" applyNumberFormat="1" applyFill="1" applyBorder="1" applyAlignment="1">
      <alignment horizontal="left" vertical="center"/>
    </xf>
    <xf numFmtId="166" fontId="16" fillId="4" borderId="20" xfId="2" applyNumberFormat="1" applyFont="1" applyFill="1" applyBorder="1" applyAlignment="1">
      <alignment horizontal="right" vertical="center" wrapText="1"/>
    </xf>
    <xf numFmtId="10" fontId="16" fillId="4" borderId="20" xfId="3" applyNumberFormat="1" applyFont="1" applyFill="1" applyBorder="1" applyAlignment="1">
      <alignment horizontal="right" vertical="center" wrapText="1"/>
    </xf>
    <xf numFmtId="166" fontId="0" fillId="6" borderId="1" xfId="2" applyNumberFormat="1" applyFont="1" applyFill="1" applyBorder="1"/>
    <xf numFmtId="166" fontId="55" fillId="6" borderId="1" xfId="2" applyNumberFormat="1" applyFont="1" applyFill="1" applyBorder="1"/>
    <xf numFmtId="166" fontId="0" fillId="0" borderId="0" xfId="2" applyNumberFormat="1" applyFont="1"/>
    <xf numFmtId="166" fontId="55" fillId="0" borderId="1" xfId="2" applyNumberFormat="1" applyFont="1" applyBorder="1"/>
    <xf numFmtId="166" fontId="0" fillId="0" borderId="1" xfId="2" applyNumberFormat="1" applyFont="1" applyBorder="1"/>
    <xf numFmtId="10" fontId="5" fillId="0" borderId="0" xfId="3" applyNumberFormat="1" applyFont="1" applyAlignment="1">
      <alignment horizontal="center"/>
    </xf>
    <xf numFmtId="168" fontId="41" fillId="0" borderId="0" xfId="3" applyNumberFormat="1" applyFont="1" applyFill="1" applyBorder="1" applyAlignment="1">
      <alignment horizontal="right" vertical="center" wrapText="1"/>
    </xf>
    <xf numFmtId="171" fontId="41" fillId="0" borderId="0" xfId="0" applyNumberFormat="1" applyFont="1" applyAlignment="1">
      <alignment horizontal="right" vertical="center" wrapText="1"/>
    </xf>
    <xf numFmtId="1" fontId="41" fillId="0" borderId="0" xfId="0" applyNumberFormat="1" applyFont="1" applyAlignment="1">
      <alignment horizontal="right" vertical="center" wrapText="1"/>
    </xf>
    <xf numFmtId="166" fontId="41" fillId="0" borderId="0" xfId="2" applyNumberFormat="1" applyFont="1" applyFill="1" applyBorder="1" applyAlignment="1">
      <alignment horizontal="right" vertical="center" wrapText="1"/>
    </xf>
    <xf numFmtId="9" fontId="41" fillId="0" borderId="0" xfId="3" applyFont="1" applyFill="1" applyBorder="1" applyAlignment="1">
      <alignment horizontal="right" vertical="center" wrapText="1"/>
    </xf>
    <xf numFmtId="2" fontId="41" fillId="0" borderId="0" xfId="0" applyNumberFormat="1" applyFont="1" applyAlignment="1">
      <alignment horizontal="right" vertical="center" wrapText="1"/>
    </xf>
    <xf numFmtId="172" fontId="41" fillId="0" borderId="0" xfId="2" applyNumberFormat="1" applyFont="1" applyFill="1" applyBorder="1" applyAlignment="1">
      <alignment horizontal="right" vertical="center" wrapText="1"/>
    </xf>
    <xf numFmtId="168" fontId="41" fillId="0" borderId="0" xfId="2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center" vertical="center" wrapText="1"/>
    </xf>
    <xf numFmtId="166" fontId="55" fillId="10" borderId="54" xfId="0" applyNumberFormat="1" applyFont="1" applyFill="1" applyBorder="1" applyAlignment="1">
      <alignment horizontal="right"/>
    </xf>
    <xf numFmtId="10" fontId="55" fillId="10" borderId="0" xfId="3" applyNumberFormat="1" applyFont="1" applyFill="1" applyBorder="1"/>
    <xf numFmtId="168" fontId="84" fillId="0" borderId="0" xfId="0" applyNumberFormat="1" applyFont="1"/>
    <xf numFmtId="2" fontId="15" fillId="2" borderId="0" xfId="5" applyNumberFormat="1" applyFont="1" applyFill="1"/>
    <xf numFmtId="174" fontId="20" fillId="2" borderId="0" xfId="5" applyNumberFormat="1" applyFont="1" applyFill="1"/>
    <xf numFmtId="4" fontId="8" fillId="2" borderId="0" xfId="5" applyNumberFormat="1" applyFont="1" applyFill="1"/>
    <xf numFmtId="166" fontId="0" fillId="4" borderId="0" xfId="2" applyNumberFormat="1" applyFont="1" applyFill="1"/>
    <xf numFmtId="0" fontId="90" fillId="2" borderId="0" xfId="0" applyFont="1" applyFill="1" applyAlignment="1">
      <alignment horizontal="center"/>
    </xf>
    <xf numFmtId="0" fontId="90" fillId="2" borderId="0" xfId="0" applyFont="1" applyFill="1"/>
    <xf numFmtId="9" fontId="17" fillId="0" borderId="1" xfId="3" applyFont="1" applyBorder="1" applyAlignment="1">
      <alignment horizontal="center" vertical="center"/>
    </xf>
    <xf numFmtId="166" fontId="17" fillId="0" borderId="1" xfId="2" applyNumberFormat="1" applyFont="1" applyBorder="1" applyAlignment="1">
      <alignment horizontal="center" vertical="center"/>
    </xf>
    <xf numFmtId="10" fontId="17" fillId="0" borderId="1" xfId="2" applyNumberFormat="1" applyFont="1" applyBorder="1" applyAlignment="1">
      <alignment horizontal="center" vertical="center"/>
    </xf>
    <xf numFmtId="166" fontId="17" fillId="2" borderId="1" xfId="2" applyNumberFormat="1" applyFont="1" applyFill="1" applyBorder="1" applyAlignment="1">
      <alignment horizontal="center" vertical="center"/>
    </xf>
    <xf numFmtId="4" fontId="16" fillId="24" borderId="1" xfId="5" applyNumberFormat="1" applyFont="1" applyFill="1" applyBorder="1" applyAlignment="1">
      <alignment horizontal="center" vertical="center"/>
    </xf>
    <xf numFmtId="4" fontId="16" fillId="24" borderId="2" xfId="5" applyNumberFormat="1" applyFont="1" applyFill="1" applyBorder="1" applyAlignment="1">
      <alignment horizontal="center" vertical="center"/>
    </xf>
    <xf numFmtId="4" fontId="16" fillId="24" borderId="115" xfId="5" applyNumberFormat="1" applyFont="1" applyFill="1" applyBorder="1" applyAlignment="1">
      <alignment horizontal="center" vertical="center"/>
    </xf>
    <xf numFmtId="4" fontId="16" fillId="24" borderId="76" xfId="5" applyNumberFormat="1" applyFont="1" applyFill="1" applyBorder="1" applyAlignment="1">
      <alignment horizontal="center" vertical="center"/>
    </xf>
    <xf numFmtId="0" fontId="91" fillId="0" borderId="0" xfId="0" applyFont="1"/>
    <xf numFmtId="0" fontId="0" fillId="0" borderId="4" xfId="0" applyBorder="1"/>
    <xf numFmtId="10" fontId="55" fillId="6" borderId="1" xfId="0" applyNumberFormat="1" applyFont="1" applyFill="1" applyBorder="1"/>
    <xf numFmtId="10" fontId="55" fillId="0" borderId="1" xfId="0" applyNumberFormat="1" applyFont="1" applyBorder="1"/>
    <xf numFmtId="171" fontId="55" fillId="6" borderId="1" xfId="0" applyNumberFormat="1" applyFont="1" applyFill="1" applyBorder="1"/>
    <xf numFmtId="171" fontId="55" fillId="0" borderId="1" xfId="0" applyNumberFormat="1" applyFont="1" applyBorder="1"/>
    <xf numFmtId="0" fontId="0" fillId="0" borderId="0" xfId="3" applyNumberFormat="1" applyFont="1"/>
    <xf numFmtId="10" fontId="0" fillId="0" borderId="0" xfId="0" applyNumberFormat="1" applyAlignment="1">
      <alignment horizontal="center" vertical="center"/>
    </xf>
    <xf numFmtId="0" fontId="84" fillId="0" borderId="0" xfId="0" applyFont="1" applyAlignment="1">
      <alignment horizontal="right" vertical="center"/>
    </xf>
    <xf numFmtId="0" fontId="42" fillId="9" borderId="117" xfId="0" applyFont="1" applyFill="1" applyBorder="1" applyAlignment="1">
      <alignment vertical="top" wrapText="1"/>
    </xf>
    <xf numFmtId="9" fontId="41" fillId="9" borderId="118" xfId="3" applyFont="1" applyFill="1" applyBorder="1" applyAlignment="1">
      <alignment horizontal="right" vertical="center" wrapText="1"/>
    </xf>
    <xf numFmtId="1" fontId="41" fillId="9" borderId="53" xfId="0" applyNumberFormat="1" applyFont="1" applyFill="1" applyBorder="1" applyAlignment="1">
      <alignment horizontal="right" vertical="center" wrapText="1"/>
    </xf>
    <xf numFmtId="0" fontId="40" fillId="9" borderId="119" xfId="0" applyFont="1" applyFill="1" applyBorder="1" applyAlignment="1">
      <alignment vertical="top" wrapText="1"/>
    </xf>
    <xf numFmtId="10" fontId="41" fillId="9" borderId="120" xfId="3" applyNumberFormat="1" applyFont="1" applyFill="1" applyBorder="1" applyAlignment="1">
      <alignment horizontal="right" vertical="center" wrapText="1"/>
    </xf>
    <xf numFmtId="9" fontId="43" fillId="9" borderId="122" xfId="3" applyFont="1" applyFill="1" applyBorder="1" applyAlignment="1">
      <alignment horizontal="right" vertical="center" wrapText="1"/>
    </xf>
    <xf numFmtId="0" fontId="46" fillId="9" borderId="123" xfId="0" applyFont="1" applyFill="1" applyBorder="1" applyAlignment="1">
      <alignment vertical="center" wrapText="1"/>
    </xf>
    <xf numFmtId="10" fontId="41" fillId="9" borderId="125" xfId="3" applyNumberFormat="1" applyFont="1" applyFill="1" applyBorder="1" applyAlignment="1">
      <alignment horizontal="right" vertical="center" wrapText="1"/>
    </xf>
    <xf numFmtId="0" fontId="55" fillId="0" borderId="129" xfId="0" applyFont="1" applyBorder="1" applyAlignment="1">
      <alignment horizontal="center" vertical="center"/>
    </xf>
    <xf numFmtId="9" fontId="55" fillId="0" borderId="121" xfId="3" applyFont="1" applyBorder="1" applyAlignment="1">
      <alignment horizontal="center" vertical="center"/>
    </xf>
    <xf numFmtId="0" fontId="40" fillId="9" borderId="57" xfId="0" applyFont="1" applyFill="1" applyBorder="1" applyAlignment="1">
      <alignment horizontal="left" vertical="top" wrapText="1"/>
    </xf>
    <xf numFmtId="171" fontId="41" fillId="9" borderId="130" xfId="0" applyNumberFormat="1" applyFont="1" applyFill="1" applyBorder="1" applyAlignment="1">
      <alignment horizontal="right" vertical="center" wrapText="1"/>
    </xf>
    <xf numFmtId="1" fontId="41" fillId="9" borderId="131" xfId="0" applyNumberFormat="1" applyFont="1" applyFill="1" applyBorder="1" applyAlignment="1">
      <alignment horizontal="right" vertical="center" wrapText="1"/>
    </xf>
    <xf numFmtId="166" fontId="41" fillId="9" borderId="131" xfId="2" applyNumberFormat="1" applyFont="1" applyFill="1" applyBorder="1" applyAlignment="1">
      <alignment horizontal="right" vertical="center" wrapText="1"/>
    </xf>
    <xf numFmtId="9" fontId="41" fillId="9" borderId="131" xfId="3" applyFont="1" applyFill="1" applyBorder="1" applyAlignment="1">
      <alignment horizontal="right" vertical="center" wrapText="1"/>
    </xf>
    <xf numFmtId="2" fontId="41" fillId="9" borderId="131" xfId="0" applyNumberFormat="1" applyFont="1" applyFill="1" applyBorder="1" applyAlignment="1">
      <alignment horizontal="right" vertical="center" wrapText="1"/>
    </xf>
    <xf numFmtId="172" fontId="41" fillId="9" borderId="131" xfId="2" applyNumberFormat="1" applyFont="1" applyFill="1" applyBorder="1" applyAlignment="1">
      <alignment horizontal="right" vertical="center" wrapText="1"/>
    </xf>
    <xf numFmtId="168" fontId="41" fillId="9" borderId="131" xfId="2" applyNumberFormat="1" applyFont="1" applyFill="1" applyBorder="1" applyAlignment="1">
      <alignment horizontal="right" vertical="center" wrapText="1"/>
    </xf>
    <xf numFmtId="168" fontId="41" fillId="9" borderId="131" xfId="3" applyNumberFormat="1" applyFont="1" applyFill="1" applyBorder="1" applyAlignment="1">
      <alignment horizontal="right" vertical="center" wrapText="1"/>
    </xf>
    <xf numFmtId="9" fontId="43" fillId="9" borderId="132" xfId="3" applyFont="1" applyFill="1" applyBorder="1" applyAlignment="1">
      <alignment horizontal="right" vertical="center" wrapText="1"/>
    </xf>
    <xf numFmtId="0" fontId="44" fillId="0" borderId="133" xfId="0" applyFont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right"/>
    </xf>
    <xf numFmtId="10" fontId="5" fillId="6" borderId="1" xfId="3" applyNumberFormat="1" applyFont="1" applyFill="1" applyBorder="1" applyAlignment="1">
      <alignment horizontal="right"/>
    </xf>
    <xf numFmtId="10" fontId="5" fillId="0" borderId="1" xfId="3" applyNumberFormat="1" applyFont="1" applyFill="1" applyBorder="1" applyAlignment="1">
      <alignment horizontal="right"/>
    </xf>
    <xf numFmtId="0" fontId="0" fillId="0" borderId="1" xfId="0" applyBorder="1"/>
    <xf numFmtId="0" fontId="92" fillId="3" borderId="37" xfId="4" applyFont="1" applyFill="1" applyBorder="1" applyAlignment="1">
      <alignment horizontal="center"/>
    </xf>
    <xf numFmtId="0" fontId="92" fillId="3" borderId="38" xfId="4" applyFont="1" applyFill="1" applyBorder="1" applyAlignment="1">
      <alignment horizontal="center"/>
    </xf>
    <xf numFmtId="0" fontId="92" fillId="3" borderId="39" xfId="4" applyFont="1" applyFill="1" applyBorder="1" applyAlignment="1">
      <alignment horizontal="center"/>
    </xf>
    <xf numFmtId="0" fontId="92" fillId="3" borderId="40" xfId="4" applyFont="1" applyFill="1" applyBorder="1" applyAlignment="1">
      <alignment horizontal="center"/>
    </xf>
    <xf numFmtId="0" fontId="94" fillId="3" borderId="40" xfId="4" applyFont="1" applyFill="1" applyBorder="1" applyAlignment="1">
      <alignment horizontal="center"/>
    </xf>
    <xf numFmtId="0" fontId="92" fillId="3" borderId="41" xfId="4" applyFont="1" applyFill="1" applyBorder="1" applyAlignment="1">
      <alignment horizontal="center"/>
    </xf>
    <xf numFmtId="0" fontId="92" fillId="3" borderId="42" xfId="4" applyFont="1" applyFill="1" applyBorder="1" applyAlignment="1">
      <alignment horizontal="center"/>
    </xf>
    <xf numFmtId="0" fontId="92" fillId="3" borderId="43" xfId="4" applyFont="1" applyFill="1" applyBorder="1" applyAlignment="1">
      <alignment horizontal="center"/>
    </xf>
    <xf numFmtId="0" fontId="97" fillId="3" borderId="44" xfId="4" applyFont="1" applyFill="1" applyBorder="1" applyAlignment="1">
      <alignment horizontal="center"/>
    </xf>
    <xf numFmtId="0" fontId="97" fillId="3" borderId="45" xfId="4" applyFont="1" applyFill="1" applyBorder="1" applyAlignment="1">
      <alignment horizontal="center"/>
    </xf>
    <xf numFmtId="0" fontId="92" fillId="3" borderId="46" xfId="4" applyFont="1" applyFill="1" applyBorder="1" applyAlignment="1">
      <alignment horizontal="center"/>
    </xf>
    <xf numFmtId="0" fontId="97" fillId="3" borderId="46" xfId="4" applyFont="1" applyFill="1" applyBorder="1" applyAlignment="1">
      <alignment horizontal="center"/>
    </xf>
    <xf numFmtId="0" fontId="97" fillId="3" borderId="0" xfId="4" applyFont="1" applyFill="1" applyAlignment="1">
      <alignment horizontal="center"/>
    </xf>
    <xf numFmtId="0" fontId="97" fillId="3" borderId="27" xfId="4" applyFont="1" applyFill="1" applyBorder="1" applyAlignment="1">
      <alignment horizontal="center"/>
    </xf>
    <xf numFmtId="14" fontId="100" fillId="3" borderId="47" xfId="4" applyNumberFormat="1" applyFont="1" applyFill="1" applyBorder="1" applyAlignment="1">
      <alignment horizontal="center"/>
    </xf>
    <xf numFmtId="170" fontId="102" fillId="2" borderId="49" xfId="5" applyNumberFormat="1" applyFont="1" applyFill="1" applyBorder="1" applyAlignment="1">
      <alignment horizontal="center" vertical="center"/>
    </xf>
    <xf numFmtId="4" fontId="101" fillId="6" borderId="48" xfId="5" applyNumberFormat="1" applyFont="1" applyFill="1" applyBorder="1" applyAlignment="1">
      <alignment horizontal="center" vertical="center"/>
    </xf>
    <xf numFmtId="10" fontId="101" fillId="2" borderId="50" xfId="3" applyNumberFormat="1" applyFont="1" applyFill="1" applyBorder="1" applyAlignment="1">
      <alignment horizontal="center" vertical="center"/>
    </xf>
    <xf numFmtId="4" fontId="102" fillId="2" borderId="49" xfId="5" applyNumberFormat="1" applyFont="1" applyFill="1" applyBorder="1" applyAlignment="1">
      <alignment horizontal="center" vertical="center"/>
    </xf>
    <xf numFmtId="9" fontId="102" fillId="2" borderId="135" xfId="3" applyFont="1" applyFill="1" applyBorder="1" applyAlignment="1">
      <alignment horizontal="center" vertical="center"/>
    </xf>
    <xf numFmtId="167" fontId="102" fillId="2" borderId="135" xfId="5" applyNumberFormat="1" applyFont="1" applyFill="1" applyBorder="1" applyAlignment="1">
      <alignment horizontal="center" vertical="center"/>
    </xf>
    <xf numFmtId="170" fontId="102" fillId="2" borderId="135" xfId="5" applyNumberFormat="1" applyFont="1" applyFill="1" applyBorder="1" applyAlignment="1">
      <alignment horizontal="center" vertical="center"/>
    </xf>
    <xf numFmtId="170" fontId="101" fillId="6" borderId="134" xfId="5" applyNumberFormat="1" applyFont="1" applyFill="1" applyBorder="1" applyAlignment="1">
      <alignment horizontal="center" vertical="center"/>
    </xf>
    <xf numFmtId="10" fontId="102" fillId="2" borderId="135" xfId="5" applyNumberFormat="1" applyFont="1" applyFill="1" applyBorder="1" applyAlignment="1">
      <alignment horizontal="center" vertical="center"/>
    </xf>
    <xf numFmtId="3" fontId="102" fillId="2" borderId="135" xfId="5" applyNumberFormat="1" applyFont="1" applyFill="1" applyBorder="1" applyAlignment="1">
      <alignment horizontal="center" vertical="center"/>
    </xf>
    <xf numFmtId="4" fontId="102" fillId="2" borderId="135" xfId="5" applyNumberFormat="1" applyFont="1" applyFill="1" applyBorder="1" applyAlignment="1">
      <alignment horizontal="center" vertical="center"/>
    </xf>
    <xf numFmtId="9" fontId="103" fillId="2" borderId="0" xfId="3" applyFont="1" applyFill="1"/>
    <xf numFmtId="0" fontId="90" fillId="0" borderId="0" xfId="0" applyFont="1" applyAlignment="1">
      <alignment horizontal="center" vertical="center"/>
    </xf>
    <xf numFmtId="0" fontId="92" fillId="3" borderId="103" xfId="4" applyFont="1" applyFill="1" applyBorder="1" applyAlignment="1">
      <alignment horizontal="center"/>
    </xf>
    <xf numFmtId="14" fontId="100" fillId="3" borderId="101" xfId="4" applyNumberFormat="1" applyFont="1" applyFill="1" applyBorder="1" applyAlignment="1">
      <alignment horizontal="center"/>
    </xf>
    <xf numFmtId="168" fontId="102" fillId="2" borderId="49" xfId="3" applyNumberFormat="1" applyFont="1" applyFill="1" applyBorder="1" applyAlignment="1">
      <alignment horizontal="center" vertical="center"/>
    </xf>
    <xf numFmtId="167" fontId="102" fillId="2" borderId="49" xfId="5" applyNumberFormat="1" applyFont="1" applyFill="1" applyBorder="1" applyAlignment="1">
      <alignment horizontal="center" vertical="center"/>
    </xf>
    <xf numFmtId="10" fontId="102" fillId="4" borderId="49" xfId="3" applyNumberFormat="1" applyFont="1" applyFill="1" applyBorder="1" applyAlignment="1">
      <alignment horizontal="center" vertical="center"/>
    </xf>
    <xf numFmtId="10" fontId="101" fillId="4" borderId="50" xfId="3" applyNumberFormat="1" applyFont="1" applyFill="1" applyBorder="1" applyAlignment="1">
      <alignment horizontal="center" vertical="center"/>
    </xf>
    <xf numFmtId="3" fontId="102" fillId="4" borderId="49" xfId="5" applyNumberFormat="1" applyFont="1" applyFill="1" applyBorder="1" applyAlignment="1">
      <alignment horizontal="center" vertical="center"/>
    </xf>
    <xf numFmtId="1" fontId="0" fillId="0" borderId="0" xfId="0" applyNumberFormat="1"/>
    <xf numFmtId="2" fontId="48" fillId="6" borderId="116" xfId="0" applyNumberFormat="1" applyFont="1" applyFill="1" applyBorder="1" applyAlignment="1">
      <alignment horizontal="center"/>
    </xf>
    <xf numFmtId="2" fontId="8" fillId="2" borderId="0" xfId="5" applyNumberFormat="1" applyFont="1" applyFill="1"/>
    <xf numFmtId="2" fontId="10" fillId="3" borderId="0" xfId="4" applyNumberFormat="1" applyFont="1" applyFill="1"/>
    <xf numFmtId="2" fontId="12" fillId="3" borderId="0" xfId="4" applyNumberFormat="1" applyFont="1" applyFill="1"/>
    <xf numFmtId="2" fontId="13" fillId="5" borderId="0" xfId="4" applyNumberFormat="1" applyFont="1" applyFill="1" applyAlignment="1">
      <alignment vertical="center"/>
    </xf>
    <xf numFmtId="2" fontId="92" fillId="3" borderId="40" xfId="4" applyNumberFormat="1" applyFont="1" applyFill="1" applyBorder="1" applyAlignment="1">
      <alignment horizontal="center"/>
    </xf>
    <xf numFmtId="2" fontId="97" fillId="3" borderId="46" xfId="4" applyNumberFormat="1" applyFont="1" applyFill="1" applyBorder="1" applyAlignment="1">
      <alignment horizontal="center"/>
    </xf>
    <xf numFmtId="2" fontId="101" fillId="4" borderId="50" xfId="3" applyNumberFormat="1" applyFont="1" applyFill="1" applyBorder="1" applyAlignment="1">
      <alignment horizontal="center" vertical="center"/>
    </xf>
    <xf numFmtId="2" fontId="102" fillId="2" borderId="135" xfId="5" applyNumberFormat="1" applyFont="1" applyFill="1" applyBorder="1" applyAlignment="1">
      <alignment horizontal="center" vertical="center"/>
    </xf>
    <xf numFmtId="2" fontId="103" fillId="2" borderId="0" xfId="3" applyNumberFormat="1" applyFont="1" applyFill="1"/>
    <xf numFmtId="2" fontId="0" fillId="0" borderId="0" xfId="0" applyNumberFormat="1"/>
    <xf numFmtId="10" fontId="16" fillId="6" borderId="16" xfId="5" applyNumberFormat="1" applyFont="1" applyFill="1" applyBorder="1" applyAlignment="1">
      <alignment vertical="center"/>
    </xf>
    <xf numFmtId="2" fontId="16" fillId="6" borderId="16" xfId="5" applyNumberFormat="1" applyFont="1" applyFill="1" applyBorder="1" applyAlignment="1">
      <alignment vertical="center"/>
    </xf>
    <xf numFmtId="4" fontId="16" fillId="6" borderId="113" xfId="5" applyNumberFormat="1" applyFont="1" applyFill="1" applyBorder="1" applyAlignment="1">
      <alignment horizontal="right" vertical="center"/>
    </xf>
    <xf numFmtId="164" fontId="0" fillId="2" borderId="0" xfId="2" applyFont="1" applyFill="1"/>
    <xf numFmtId="164" fontId="0" fillId="2" borderId="0" xfId="0" applyNumberFormat="1" applyFill="1"/>
    <xf numFmtId="0" fontId="0" fillId="0" borderId="0" xfId="0" applyAlignment="1">
      <alignment horizontal="center"/>
    </xf>
    <xf numFmtId="0" fontId="14" fillId="5" borderId="0" xfId="4" applyFont="1" applyFill="1" applyAlignment="1">
      <alignment horizontal="left" vertical="center"/>
    </xf>
    <xf numFmtId="9" fontId="65" fillId="2" borderId="0" xfId="3" applyFont="1" applyFill="1" applyBorder="1" applyAlignment="1">
      <alignment horizontal="center" wrapText="1"/>
    </xf>
    <xf numFmtId="9" fontId="74" fillId="2" borderId="0" xfId="3" applyFont="1" applyFill="1" applyBorder="1" applyAlignment="1">
      <alignment horizontal="center"/>
    </xf>
    <xf numFmtId="0" fontId="11" fillId="3" borderId="0" xfId="4" applyFont="1" applyFill="1" applyAlignment="1">
      <alignment horizontal="left" vertical="center" wrapText="1"/>
    </xf>
    <xf numFmtId="0" fontId="42" fillId="9" borderId="57" xfId="0" applyFont="1" applyFill="1" applyBorder="1" applyAlignment="1">
      <alignment horizontal="left" vertical="top" wrapText="1"/>
    </xf>
    <xf numFmtId="10" fontId="41" fillId="9" borderId="52" xfId="3" applyNumberFormat="1" applyFont="1" applyFill="1" applyBorder="1" applyAlignment="1">
      <alignment horizontal="right" vertical="center" wrapText="1"/>
    </xf>
    <xf numFmtId="10" fontId="5" fillId="0" borderId="0" xfId="3" applyNumberFormat="1" applyFont="1" applyAlignment="1">
      <alignment horizontal="center" vertical="center"/>
    </xf>
    <xf numFmtId="10" fontId="0" fillId="0" borderId="0" xfId="0" applyNumberFormat="1"/>
    <xf numFmtId="166" fontId="0" fillId="0" borderId="70" xfId="0" applyNumberFormat="1" applyBorder="1"/>
    <xf numFmtId="10" fontId="0" fillId="0" borderId="70" xfId="0" applyNumberFormat="1" applyBorder="1"/>
    <xf numFmtId="0" fontId="0" fillId="0" borderId="1" xfId="0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1" fontId="55" fillId="2" borderId="1" xfId="0" applyNumberFormat="1" applyFont="1" applyFill="1" applyBorder="1" applyAlignment="1">
      <alignment horizontal="center" vertical="center"/>
    </xf>
    <xf numFmtId="0" fontId="107" fillId="2" borderId="1" xfId="0" applyFont="1" applyFill="1" applyBorder="1" applyAlignment="1">
      <alignment horizontal="center" vertical="center"/>
    </xf>
    <xf numFmtId="3" fontId="107" fillId="0" borderId="1" xfId="0" applyNumberFormat="1" applyFont="1" applyBorder="1" applyAlignment="1">
      <alignment horizontal="center" vertical="center"/>
    </xf>
    <xf numFmtId="166" fontId="107" fillId="0" borderId="1" xfId="0" applyNumberFormat="1" applyFont="1" applyBorder="1" applyAlignment="1">
      <alignment horizontal="center" vertical="center"/>
    </xf>
    <xf numFmtId="0" fontId="48" fillId="0" borderId="0" xfId="0" applyFont="1" applyAlignment="1">
      <alignment horizontal="center" textRotation="45"/>
    </xf>
    <xf numFmtId="49" fontId="48" fillId="0" borderId="0" xfId="0" applyNumberFormat="1" applyFont="1" applyAlignment="1">
      <alignment horizontal="center" textRotation="45"/>
    </xf>
    <xf numFmtId="0" fontId="48" fillId="0" borderId="0" xfId="0" applyFont="1" applyAlignment="1">
      <alignment horizontal="center" textRotation="45" wrapText="1"/>
    </xf>
    <xf numFmtId="0" fontId="48" fillId="0" borderId="0" xfId="2" applyNumberFormat="1" applyFont="1" applyAlignment="1">
      <alignment horizontal="center" textRotation="45"/>
    </xf>
    <xf numFmtId="0" fontId="50" fillId="0" borderId="0" xfId="0" applyFont="1" applyAlignment="1">
      <alignment horizontal="center" textRotation="45"/>
    </xf>
    <xf numFmtId="0" fontId="50" fillId="0" borderId="0" xfId="0" applyFont="1" applyAlignment="1">
      <alignment horizontal="center" textRotation="45" wrapText="1"/>
    </xf>
    <xf numFmtId="0" fontId="48" fillId="0" borderId="0" xfId="0" applyFont="1" applyAlignment="1">
      <alignment textRotation="45" wrapText="1"/>
    </xf>
    <xf numFmtId="0" fontId="45" fillId="0" borderId="0" xfId="0" applyFont="1" applyAlignment="1">
      <alignment horizontal="center" vertical="top"/>
    </xf>
    <xf numFmtId="14" fontId="45" fillId="0" borderId="0" xfId="0" applyNumberFormat="1" applyFont="1" applyAlignment="1">
      <alignment horizontal="center" vertical="top"/>
    </xf>
    <xf numFmtId="0" fontId="49" fillId="0" borderId="0" xfId="0" applyFont="1" applyAlignment="1">
      <alignment horizontal="center" vertical="top"/>
    </xf>
    <xf numFmtId="49" fontId="49" fillId="0" borderId="0" xfId="0" applyNumberFormat="1" applyFont="1" applyAlignment="1">
      <alignment horizontal="center" vertical="top"/>
    </xf>
    <xf numFmtId="0" fontId="49" fillId="0" borderId="0" xfId="2" applyNumberFormat="1" applyFont="1" applyFill="1" applyBorder="1" applyAlignment="1">
      <alignment horizontal="center" vertical="top"/>
    </xf>
    <xf numFmtId="173" fontId="49" fillId="0" borderId="0" xfId="0" applyNumberFormat="1" applyFont="1" applyAlignment="1">
      <alignment horizontal="center" vertical="top"/>
    </xf>
    <xf numFmtId="173" fontId="45" fillId="0" borderId="0" xfId="0" applyNumberFormat="1" applyFont="1" applyAlignment="1">
      <alignment horizontal="center" vertical="top"/>
    </xf>
    <xf numFmtId="177" fontId="49" fillId="0" borderId="0" xfId="2" applyNumberFormat="1" applyFont="1" applyFill="1" applyBorder="1" applyAlignment="1">
      <alignment horizontal="center" vertical="top"/>
    </xf>
    <xf numFmtId="0" fontId="45" fillId="0" borderId="0" xfId="7" applyNumberFormat="1" applyFont="1" applyFill="1" applyBorder="1" applyAlignment="1">
      <alignment horizontal="center" vertical="top"/>
    </xf>
    <xf numFmtId="169" fontId="45" fillId="0" borderId="0" xfId="7" applyNumberFormat="1" applyFont="1" applyFill="1" applyBorder="1" applyAlignment="1">
      <alignment horizontal="center" vertical="top"/>
    </xf>
    <xf numFmtId="49" fontId="45" fillId="0" borderId="0" xfId="0" applyNumberFormat="1" applyFont="1"/>
    <xf numFmtId="49" fontId="45" fillId="0" borderId="0" xfId="0" applyNumberFormat="1" applyFont="1" applyAlignment="1">
      <alignment horizontal="left"/>
    </xf>
    <xf numFmtId="3" fontId="8" fillId="2" borderId="0" xfId="5" applyNumberFormat="1" applyFont="1" applyFill="1"/>
    <xf numFmtId="9" fontId="49" fillId="0" borderId="0" xfId="3" applyFont="1" applyFill="1" applyBorder="1" applyAlignment="1">
      <alignment horizontal="center" vertical="top"/>
    </xf>
    <xf numFmtId="166" fontId="102" fillId="2" borderId="49" xfId="2" applyNumberFormat="1" applyFont="1" applyFill="1" applyBorder="1" applyAlignment="1">
      <alignment horizontal="center" vertical="center"/>
    </xf>
    <xf numFmtId="166" fontId="102" fillId="2" borderId="135" xfId="2" applyNumberFormat="1" applyFont="1" applyFill="1" applyBorder="1" applyAlignment="1">
      <alignment horizontal="center" vertical="center"/>
    </xf>
    <xf numFmtId="9" fontId="48" fillId="0" borderId="0" xfId="3" applyFont="1" applyAlignment="1">
      <alignment horizontal="center" textRotation="45" wrapText="1"/>
    </xf>
    <xf numFmtId="14" fontId="108" fillId="0" borderId="0" xfId="0" applyNumberFormat="1" applyFont="1" applyAlignment="1">
      <alignment horizontal="left"/>
    </xf>
    <xf numFmtId="0" fontId="48" fillId="0" borderId="1" xfId="0" applyFont="1" applyBorder="1" applyAlignment="1">
      <alignment horizontal="center" vertical="top"/>
    </xf>
    <xf numFmtId="0" fontId="48" fillId="0" borderId="4" xfId="0" applyFont="1" applyBorder="1" applyAlignment="1">
      <alignment horizontal="center" vertical="top"/>
    </xf>
    <xf numFmtId="0" fontId="48" fillId="0" borderId="114" xfId="0" applyFont="1" applyBorder="1" applyAlignment="1">
      <alignment horizontal="center" vertical="top"/>
    </xf>
    <xf numFmtId="173" fontId="109" fillId="0" borderId="114" xfId="0" applyNumberFormat="1" applyFont="1" applyBorder="1" applyAlignment="1">
      <alignment horizontal="center" vertical="top"/>
    </xf>
    <xf numFmtId="10" fontId="48" fillId="0" borderId="4" xfId="3" applyNumberFormat="1" applyFont="1" applyBorder="1" applyAlignment="1">
      <alignment horizontal="center" vertical="top"/>
    </xf>
    <xf numFmtId="2" fontId="48" fillId="0" borderId="1" xfId="0" applyNumberFormat="1" applyFont="1" applyBorder="1" applyAlignment="1">
      <alignment horizontal="center" vertical="top"/>
    </xf>
    <xf numFmtId="2" fontId="109" fillId="0" borderId="1" xfId="0" applyNumberFormat="1" applyFont="1" applyBorder="1" applyAlignment="1">
      <alignment horizontal="center" vertical="top"/>
    </xf>
    <xf numFmtId="164" fontId="109" fillId="0" borderId="1" xfId="0" applyNumberFormat="1" applyFont="1" applyBorder="1" applyAlignment="1">
      <alignment horizontal="center" vertical="top"/>
    </xf>
    <xf numFmtId="10" fontId="48" fillId="0" borderId="1" xfId="3" applyNumberFormat="1" applyFont="1" applyBorder="1" applyAlignment="1">
      <alignment horizontal="center" vertical="top"/>
    </xf>
    <xf numFmtId="168" fontId="48" fillId="0" borderId="1" xfId="3" applyNumberFormat="1" applyFont="1" applyBorder="1" applyAlignment="1">
      <alignment horizontal="center" vertical="top"/>
    </xf>
    <xf numFmtId="2" fontId="48" fillId="0" borderId="116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 vertical="top"/>
    </xf>
    <xf numFmtId="14" fontId="45" fillId="0" borderId="1" xfId="0" applyNumberFormat="1" applyFont="1" applyBorder="1" applyAlignment="1">
      <alignment horizontal="center" vertical="top"/>
    </xf>
    <xf numFmtId="0" fontId="49" fillId="0" borderId="1" xfId="0" applyFont="1" applyBorder="1" applyAlignment="1">
      <alignment horizontal="center" vertical="top"/>
    </xf>
    <xf numFmtId="166" fontId="45" fillId="0" borderId="1" xfId="2" applyNumberFormat="1" applyFont="1" applyBorder="1" applyAlignment="1">
      <alignment horizontal="center" vertical="top"/>
    </xf>
    <xf numFmtId="0" fontId="109" fillId="0" borderId="1" xfId="0" applyFont="1" applyBorder="1" applyAlignment="1">
      <alignment horizontal="center" vertical="top"/>
    </xf>
    <xf numFmtId="166" fontId="109" fillId="0" borderId="1" xfId="2" applyNumberFormat="1" applyFont="1" applyBorder="1" applyAlignment="1">
      <alignment horizontal="center" vertical="top"/>
    </xf>
    <xf numFmtId="0" fontId="0" fillId="0" borderId="140" xfId="0" applyBorder="1"/>
    <xf numFmtId="0" fontId="0" fillId="0" borderId="77" xfId="0" applyBorder="1"/>
    <xf numFmtId="0" fontId="0" fillId="0" borderId="141" xfId="0" applyBorder="1"/>
    <xf numFmtId="0" fontId="0" fillId="0" borderId="143" xfId="0" applyBorder="1"/>
    <xf numFmtId="166" fontId="0" fillId="0" borderId="142" xfId="0" applyNumberFormat="1" applyBorder="1"/>
    <xf numFmtId="166" fontId="0" fillId="0" borderId="136" xfId="0" applyNumberFormat="1" applyBorder="1"/>
    <xf numFmtId="4" fontId="16" fillId="3" borderId="3" xfId="5" applyNumberFormat="1" applyFont="1" applyFill="1" applyBorder="1" applyAlignment="1">
      <alignment horizontal="center" vertical="center"/>
    </xf>
    <xf numFmtId="166" fontId="102" fillId="2" borderId="52" xfId="2" applyNumberFormat="1" applyFont="1" applyFill="1" applyBorder="1" applyAlignment="1">
      <alignment horizontal="center" vertical="center"/>
    </xf>
    <xf numFmtId="166" fontId="102" fillId="2" borderId="144" xfId="2" applyNumberFormat="1" applyFont="1" applyFill="1" applyBorder="1" applyAlignment="1">
      <alignment horizontal="center" vertical="center"/>
    </xf>
    <xf numFmtId="166" fontId="0" fillId="0" borderId="0" xfId="9" applyNumberFormat="1" applyFont="1" applyBorder="1"/>
    <xf numFmtId="0" fontId="84" fillId="0" borderId="1" xfId="0" applyFont="1" applyBorder="1" applyAlignment="1">
      <alignment horizontal="right"/>
    </xf>
    <xf numFmtId="0" fontId="84" fillId="0" borderId="1" xfId="0" applyFont="1" applyBorder="1"/>
    <xf numFmtId="14" fontId="84" fillId="0" borderId="1" xfId="0" applyNumberFormat="1" applyFont="1" applyBorder="1"/>
    <xf numFmtId="0" fontId="86" fillId="0" borderId="1" xfId="0" applyFont="1" applyBorder="1"/>
    <xf numFmtId="166" fontId="0" fillId="0" borderId="1" xfId="0" applyNumberFormat="1" applyBorder="1"/>
    <xf numFmtId="166" fontId="4" fillId="0" borderId="1" xfId="0" applyNumberFormat="1" applyFont="1" applyBorder="1"/>
    <xf numFmtId="166" fontId="55" fillId="0" borderId="1" xfId="2" applyNumberFormat="1" applyFont="1" applyBorder="1" applyAlignment="1">
      <alignment horizontal="center"/>
    </xf>
    <xf numFmtId="0" fontId="92" fillId="3" borderId="0" xfId="4" applyFont="1" applyFill="1" applyAlignment="1">
      <alignment horizontal="center"/>
    </xf>
    <xf numFmtId="9" fontId="102" fillId="2" borderId="52" xfId="3" applyFont="1" applyFill="1" applyBorder="1" applyAlignment="1">
      <alignment horizontal="center" vertical="center"/>
    </xf>
    <xf numFmtId="168" fontId="0" fillId="0" borderId="0" xfId="0" applyNumberFormat="1" applyAlignment="1">
      <alignment horizontal="right"/>
    </xf>
    <xf numFmtId="168" fontId="84" fillId="0" borderId="0" xfId="0" applyNumberFormat="1" applyFont="1" applyAlignment="1">
      <alignment horizontal="right" vertical="center"/>
    </xf>
    <xf numFmtId="0" fontId="92" fillId="3" borderId="145" xfId="4" applyFont="1" applyFill="1" applyBorder="1" applyAlignment="1">
      <alignment horizontal="center"/>
    </xf>
    <xf numFmtId="166" fontId="102" fillId="2" borderId="87" xfId="2" applyNumberFormat="1" applyFont="1" applyFill="1" applyBorder="1" applyAlignment="1">
      <alignment horizontal="center" vertical="center"/>
    </xf>
    <xf numFmtId="0" fontId="3" fillId="3" borderId="13" xfId="4" applyFont="1" applyFill="1" applyBorder="1" applyAlignment="1">
      <alignment horizontal="center"/>
    </xf>
    <xf numFmtId="0" fontId="3" fillId="3" borderId="14" xfId="4" applyFont="1" applyFill="1" applyBorder="1" applyAlignment="1">
      <alignment horizontal="center"/>
    </xf>
    <xf numFmtId="0" fontId="3" fillId="3" borderId="15" xfId="4" applyFont="1" applyFill="1" applyBorder="1" applyAlignment="1">
      <alignment horizontal="center"/>
    </xf>
    <xf numFmtId="0" fontId="3" fillId="3" borderId="111" xfId="4" applyFont="1" applyFill="1" applyBorder="1" applyAlignment="1">
      <alignment horizontal="center"/>
    </xf>
    <xf numFmtId="0" fontId="3" fillId="3" borderId="112" xfId="4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3" borderId="20" xfId="4" applyFont="1" applyFill="1" applyBorder="1" applyAlignment="1">
      <alignment horizontal="center"/>
    </xf>
    <xf numFmtId="0" fontId="3" fillId="3" borderId="21" xfId="4" applyFont="1" applyFill="1" applyBorder="1" applyAlignment="1">
      <alignment horizontal="center"/>
    </xf>
    <xf numFmtId="0" fontId="3" fillId="3" borderId="109" xfId="4" applyFont="1" applyFill="1" applyBorder="1" applyAlignment="1">
      <alignment horizontal="center"/>
    </xf>
    <xf numFmtId="0" fontId="25" fillId="7" borderId="22" xfId="5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3" fillId="3" borderId="32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3" fillId="3" borderId="34" xfId="4" applyFont="1" applyFill="1" applyBorder="1" applyAlignment="1">
      <alignment horizontal="center"/>
    </xf>
    <xf numFmtId="0" fontId="3" fillId="3" borderId="0" xfId="4" applyFont="1" applyFill="1" applyAlignment="1">
      <alignment horizontal="left" vertical="center" wrapText="1"/>
    </xf>
    <xf numFmtId="0" fontId="3" fillId="3" borderId="9" xfId="4" applyFont="1" applyFill="1" applyBorder="1" applyAlignment="1">
      <alignment horizontal="center" vertical="center"/>
    </xf>
    <xf numFmtId="0" fontId="3" fillId="3" borderId="10" xfId="4" applyFont="1" applyFill="1" applyBorder="1" applyAlignment="1">
      <alignment horizontal="center" vertical="center"/>
    </xf>
    <xf numFmtId="0" fontId="3" fillId="3" borderId="11" xfId="4" applyFont="1" applyFill="1" applyBorder="1" applyAlignment="1">
      <alignment horizontal="center" vertical="center"/>
    </xf>
    <xf numFmtId="0" fontId="21" fillId="3" borderId="13" xfId="4" applyFont="1" applyFill="1" applyBorder="1" applyAlignment="1">
      <alignment horizontal="center"/>
    </xf>
    <xf numFmtId="0" fontId="3" fillId="3" borderId="18" xfId="4" applyFont="1" applyFill="1" applyBorder="1" applyAlignment="1">
      <alignment horizontal="center"/>
    </xf>
    <xf numFmtId="0" fontId="28" fillId="3" borderId="28" xfId="4" applyFont="1" applyFill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04" fillId="2" borderId="13" xfId="4" applyFont="1" applyFill="1" applyBorder="1" applyAlignment="1">
      <alignment horizontal="center"/>
    </xf>
    <xf numFmtId="0" fontId="104" fillId="2" borderId="14" xfId="4" applyFont="1" applyFill="1" applyBorder="1" applyAlignment="1">
      <alignment horizontal="center"/>
    </xf>
    <xf numFmtId="0" fontId="104" fillId="2" borderId="15" xfId="4" applyFont="1" applyFill="1" applyBorder="1" applyAlignment="1">
      <alignment horizontal="center"/>
    </xf>
    <xf numFmtId="9" fontId="65" fillId="2" borderId="0" xfId="3" applyFont="1" applyFill="1" applyBorder="1" applyAlignment="1">
      <alignment horizontal="center" wrapText="1"/>
    </xf>
    <xf numFmtId="9" fontId="65" fillId="2" borderId="75" xfId="3" applyFont="1" applyFill="1" applyBorder="1" applyAlignment="1">
      <alignment horizontal="center" wrapText="1"/>
    </xf>
    <xf numFmtId="9" fontId="74" fillId="2" borderId="56" xfId="3" applyFont="1" applyFill="1" applyBorder="1" applyAlignment="1">
      <alignment horizontal="center"/>
    </xf>
    <xf numFmtId="9" fontId="74" fillId="2" borderId="0" xfId="3" applyFont="1" applyFill="1" applyBorder="1" applyAlignment="1">
      <alignment horizontal="center"/>
    </xf>
    <xf numFmtId="0" fontId="76" fillId="21" borderId="97" xfId="0" applyFont="1" applyFill="1" applyBorder="1" applyAlignment="1">
      <alignment horizontal="center" vertical="center" wrapText="1" readingOrder="1"/>
    </xf>
    <xf numFmtId="0" fontId="76" fillId="21" borderId="98" xfId="0" applyFont="1" applyFill="1" applyBorder="1" applyAlignment="1">
      <alignment horizontal="center" vertical="center" wrapText="1" readingOrder="1"/>
    </xf>
    <xf numFmtId="0" fontId="9" fillId="2" borderId="0" xfId="5" applyFont="1" applyFill="1" applyAlignment="1">
      <alignment horizontal="center"/>
    </xf>
    <xf numFmtId="0" fontId="3" fillId="3" borderId="0" xfId="4" applyFont="1" applyFill="1" applyAlignment="1">
      <alignment horizontal="center" vertical="center"/>
    </xf>
    <xf numFmtId="0" fontId="11" fillId="3" borderId="0" xfId="4" applyFont="1" applyFill="1" applyAlignment="1">
      <alignment horizontal="left" vertical="center" wrapText="1"/>
    </xf>
    <xf numFmtId="0" fontId="3" fillId="3" borderId="103" xfId="4" applyFont="1" applyFill="1" applyBorder="1" applyAlignment="1">
      <alignment horizontal="center"/>
    </xf>
    <xf numFmtId="0" fontId="3" fillId="3" borderId="104" xfId="4" applyFont="1" applyFill="1" applyBorder="1" applyAlignment="1">
      <alignment horizontal="center"/>
    </xf>
    <xf numFmtId="0" fontId="3" fillId="3" borderId="105" xfId="4" applyFont="1" applyFill="1" applyBorder="1" applyAlignment="1">
      <alignment horizontal="center"/>
    </xf>
    <xf numFmtId="3" fontId="17" fillId="2" borderId="13" xfId="5" applyNumberFormat="1" applyFont="1" applyFill="1" applyBorder="1" applyAlignment="1">
      <alignment horizontal="center" vertical="center"/>
    </xf>
    <xf numFmtId="3" fontId="17" fillId="2" borderId="14" xfId="5" applyNumberFormat="1" applyFont="1" applyFill="1" applyBorder="1" applyAlignment="1">
      <alignment horizontal="center" vertical="center"/>
    </xf>
    <xf numFmtId="3" fontId="17" fillId="2" borderId="15" xfId="5" applyNumberFormat="1" applyFont="1" applyFill="1" applyBorder="1" applyAlignment="1">
      <alignment horizontal="center" vertical="center"/>
    </xf>
    <xf numFmtId="0" fontId="3" fillId="3" borderId="13" xfId="4" applyFont="1" applyFill="1" applyBorder="1" applyAlignment="1">
      <alignment horizontal="center" vertical="center"/>
    </xf>
    <xf numFmtId="0" fontId="3" fillId="3" borderId="14" xfId="4" applyFont="1" applyFill="1" applyBorder="1" applyAlignment="1">
      <alignment horizontal="center" vertical="center"/>
    </xf>
    <xf numFmtId="0" fontId="3" fillId="3" borderId="15" xfId="4" applyFont="1" applyFill="1" applyBorder="1" applyAlignment="1">
      <alignment horizontal="center" vertical="center"/>
    </xf>
    <xf numFmtId="3" fontId="17" fillId="2" borderId="13" xfId="5" applyNumberFormat="1" applyFont="1" applyFill="1" applyBorder="1" applyAlignment="1">
      <alignment horizontal="center" vertical="center" wrapText="1"/>
    </xf>
    <xf numFmtId="3" fontId="17" fillId="2" borderId="14" xfId="5" applyNumberFormat="1" applyFont="1" applyFill="1" applyBorder="1" applyAlignment="1">
      <alignment horizontal="center" vertical="center" wrapText="1"/>
    </xf>
    <xf numFmtId="3" fontId="17" fillId="2" borderId="15" xfId="5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3" fillId="3" borderId="9" xfId="4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3" fontId="17" fillId="2" borderId="9" xfId="5" applyNumberFormat="1" applyFont="1" applyFill="1" applyBorder="1" applyAlignment="1">
      <alignment horizontal="center" vertical="center"/>
    </xf>
    <xf numFmtId="3" fontId="17" fillId="2" borderId="10" xfId="5" applyNumberFormat="1" applyFont="1" applyFill="1" applyBorder="1" applyAlignment="1">
      <alignment horizontal="center" vertical="center"/>
    </xf>
    <xf numFmtId="3" fontId="17" fillId="2" borderId="11" xfId="5" applyNumberFormat="1" applyFont="1" applyFill="1" applyBorder="1" applyAlignment="1">
      <alignment horizontal="center" vertical="center"/>
    </xf>
    <xf numFmtId="0" fontId="80" fillId="3" borderId="13" xfId="4" applyFont="1" applyFill="1" applyBorder="1" applyAlignment="1">
      <alignment horizontal="center"/>
    </xf>
    <xf numFmtId="3" fontId="17" fillId="2" borderId="106" xfId="5" applyNumberFormat="1" applyFont="1" applyFill="1" applyBorder="1" applyAlignment="1">
      <alignment horizontal="center" vertical="center"/>
    </xf>
    <xf numFmtId="3" fontId="17" fillId="2" borderId="107" xfId="5" applyNumberFormat="1" applyFont="1" applyFill="1" applyBorder="1" applyAlignment="1">
      <alignment horizontal="center" vertical="center"/>
    </xf>
    <xf numFmtId="3" fontId="17" fillId="2" borderId="108" xfId="5" applyNumberFormat="1" applyFont="1" applyFill="1" applyBorder="1" applyAlignment="1">
      <alignment horizontal="center" vertical="center"/>
    </xf>
    <xf numFmtId="0" fontId="14" fillId="5" borderId="0" xfId="4" applyFont="1" applyFill="1" applyAlignment="1">
      <alignment horizontal="left" vertical="center"/>
    </xf>
    <xf numFmtId="0" fontId="6" fillId="6" borderId="85" xfId="0" applyFont="1" applyFill="1" applyBorder="1" applyAlignment="1">
      <alignment horizontal="center" vertical="center" wrapText="1"/>
    </xf>
    <xf numFmtId="0" fontId="6" fillId="6" borderId="86" xfId="0" applyFont="1" applyFill="1" applyBorder="1" applyAlignment="1">
      <alignment horizontal="center" vertical="center" wrapText="1"/>
    </xf>
    <xf numFmtId="164" fontId="17" fillId="2" borderId="62" xfId="2" applyFont="1" applyFill="1" applyBorder="1" applyAlignment="1">
      <alignment horizontal="center" vertical="center" wrapText="1"/>
    </xf>
    <xf numFmtId="164" fontId="17" fillId="2" borderId="65" xfId="2" applyFont="1" applyFill="1" applyBorder="1" applyAlignment="1">
      <alignment horizontal="center" vertical="center" wrapText="1"/>
    </xf>
    <xf numFmtId="164" fontId="17" fillId="2" borderId="37" xfId="2" applyFont="1" applyFill="1" applyBorder="1" applyAlignment="1">
      <alignment horizontal="center" vertical="center" wrapText="1"/>
    </xf>
    <xf numFmtId="164" fontId="17" fillId="2" borderId="78" xfId="2" applyFont="1" applyFill="1" applyBorder="1" applyAlignment="1">
      <alignment horizontal="center" vertical="center" wrapText="1"/>
    </xf>
    <xf numFmtId="0" fontId="6" fillId="6" borderId="80" xfId="0" applyFont="1" applyFill="1" applyBorder="1" applyAlignment="1">
      <alignment horizontal="center" vertical="center" wrapText="1"/>
    </xf>
    <xf numFmtId="0" fontId="6" fillId="6" borderId="71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52" fillId="6" borderId="80" xfId="0" applyFont="1" applyFill="1" applyBorder="1" applyAlignment="1">
      <alignment horizontal="center" vertical="center" wrapText="1"/>
    </xf>
    <xf numFmtId="0" fontId="52" fillId="6" borderId="71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/>
    </xf>
    <xf numFmtId="0" fontId="55" fillId="0" borderId="23" xfId="0" applyFont="1" applyBorder="1" applyAlignment="1">
      <alignment horizontal="center"/>
    </xf>
    <xf numFmtId="0" fontId="55" fillId="0" borderId="114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23" borderId="61" xfId="0" applyFont="1" applyFill="1" applyBorder="1" applyAlignment="1">
      <alignment horizontal="center" vertical="center"/>
    </xf>
    <xf numFmtId="0" fontId="55" fillId="23" borderId="3" xfId="0" applyFont="1" applyFill="1" applyBorder="1" applyAlignment="1">
      <alignment horizontal="center" vertical="center"/>
    </xf>
    <xf numFmtId="0" fontId="55" fillId="23" borderId="2" xfId="0" applyFont="1" applyFill="1" applyBorder="1" applyAlignment="1">
      <alignment horizontal="center" vertical="center"/>
    </xf>
    <xf numFmtId="0" fontId="55" fillId="23" borderId="1" xfId="0" applyFont="1" applyFill="1" applyBorder="1" applyAlignment="1">
      <alignment horizontal="center" vertical="center"/>
    </xf>
    <xf numFmtId="0" fontId="47" fillId="0" borderId="126" xfId="0" applyFont="1" applyBorder="1" applyAlignment="1">
      <alignment horizontal="center" vertical="center" textRotation="90"/>
    </xf>
    <xf numFmtId="0" fontId="47" fillId="0" borderId="127" xfId="0" applyFont="1" applyBorder="1" applyAlignment="1">
      <alignment horizontal="center" vertical="center" textRotation="90"/>
    </xf>
    <xf numFmtId="0" fontId="47" fillId="0" borderId="128" xfId="0" applyFont="1" applyBorder="1" applyAlignment="1">
      <alignment horizontal="center" vertical="center" textRotation="90"/>
    </xf>
    <xf numFmtId="0" fontId="40" fillId="9" borderId="119" xfId="0" applyFont="1" applyFill="1" applyBorder="1" applyAlignment="1">
      <alignment horizontal="center" vertical="top" wrapText="1"/>
    </xf>
    <xf numFmtId="0" fontId="40" fillId="9" borderId="120" xfId="0" applyFont="1" applyFill="1" applyBorder="1" applyAlignment="1">
      <alignment horizontal="center" vertical="top" wrapText="1"/>
    </xf>
    <xf numFmtId="0" fontId="42" fillId="9" borderId="57" xfId="0" applyFont="1" applyFill="1" applyBorder="1" applyAlignment="1">
      <alignment horizontal="left" vertical="top" wrapText="1"/>
    </xf>
    <xf numFmtId="0" fontId="42" fillId="9" borderId="51" xfId="0" applyFont="1" applyFill="1" applyBorder="1" applyAlignment="1">
      <alignment horizontal="left" vertical="top" wrapText="1"/>
    </xf>
    <xf numFmtId="0" fontId="42" fillId="9" borderId="117" xfId="0" applyFont="1" applyFill="1" applyBorder="1" applyAlignment="1">
      <alignment horizontal="left" vertical="top" wrapText="1"/>
    </xf>
    <xf numFmtId="0" fontId="42" fillId="9" borderId="118" xfId="0" applyFont="1" applyFill="1" applyBorder="1" applyAlignment="1">
      <alignment horizontal="left" vertical="top" wrapText="1"/>
    </xf>
    <xf numFmtId="0" fontId="46" fillId="9" borderId="123" xfId="0" applyFont="1" applyFill="1" applyBorder="1" applyAlignment="1">
      <alignment horizontal="center" vertical="center" wrapText="1"/>
    </xf>
    <xf numFmtId="0" fontId="40" fillId="9" borderId="124" xfId="0" applyFont="1" applyFill="1" applyBorder="1" applyAlignment="1">
      <alignment horizontal="center" vertical="top" wrapText="1"/>
    </xf>
    <xf numFmtId="0" fontId="40" fillId="9" borderId="125" xfId="0" applyFont="1" applyFill="1" applyBorder="1" applyAlignment="1">
      <alignment horizontal="center" vertical="top" wrapText="1"/>
    </xf>
    <xf numFmtId="0" fontId="42" fillId="9" borderId="59" xfId="0" applyFont="1" applyFill="1" applyBorder="1" applyAlignment="1">
      <alignment horizontal="left" vertical="top" wrapText="1"/>
    </xf>
    <xf numFmtId="0" fontId="42" fillId="9" borderId="53" xfId="0" applyFont="1" applyFill="1" applyBorder="1" applyAlignment="1">
      <alignment horizontal="left" vertical="top" wrapText="1"/>
    </xf>
    <xf numFmtId="0" fontId="42" fillId="9" borderId="138" xfId="0" applyFont="1" applyFill="1" applyBorder="1" applyAlignment="1">
      <alignment horizontal="left" vertical="top" wrapText="1"/>
    </xf>
    <xf numFmtId="0" fontId="42" fillId="9" borderId="139" xfId="0" applyFont="1" applyFill="1" applyBorder="1" applyAlignment="1">
      <alignment horizontal="left" vertical="top" wrapText="1"/>
    </xf>
    <xf numFmtId="0" fontId="46" fillId="9" borderId="137" xfId="0" applyFont="1" applyFill="1" applyBorder="1" applyAlignment="1">
      <alignment horizontal="center" vertical="center" wrapText="1"/>
    </xf>
    <xf numFmtId="0" fontId="55" fillId="6" borderId="4" xfId="0" applyFont="1" applyFill="1" applyBorder="1" applyAlignment="1">
      <alignment horizontal="center"/>
    </xf>
    <xf numFmtId="0" fontId="55" fillId="6" borderId="23" xfId="0" applyFont="1" applyFill="1" applyBorder="1" applyAlignment="1">
      <alignment horizontal="center"/>
    </xf>
    <xf numFmtId="0" fontId="55" fillId="6" borderId="114" xfId="0" applyFont="1" applyFill="1" applyBorder="1" applyAlignment="1">
      <alignment horizontal="center"/>
    </xf>
  </cellXfs>
  <cellStyles count="53">
    <cellStyle name="Comma 2" xfId="28" xr:uid="{96BF6904-C949-4326-932E-7DB9E8FFC121}"/>
    <cellStyle name="Comma 2 2" xfId="6" xr:uid="{00000000-0005-0000-0000-000000000000}"/>
    <cellStyle name="Comma 2 2 2" xfId="49" xr:uid="{DBD8FF90-74CC-4589-805B-20E7C793A685}"/>
    <cellStyle name="Comma 3" xfId="50" xr:uid="{CD31C250-545F-4B95-950E-3B06328A454F}"/>
    <cellStyle name="Comma 3 2" xfId="51" xr:uid="{F5561D54-FDF9-44B5-A8F6-86C2CA101B73}"/>
    <cellStyle name="Comma 5" xfId="36" xr:uid="{577FAB6D-1AA0-4E72-AA37-CAAB19C0231C}"/>
    <cellStyle name="Comma 5 2" xfId="37" xr:uid="{FE9902CE-6ACF-45F3-A74F-AB47B5639E44}"/>
    <cellStyle name="Dezimal 2" xfId="7" xr:uid="{00000000-0005-0000-0000-000001000000}"/>
    <cellStyle name="Dezimal 2 2" xfId="11" xr:uid="{B11BFB29-7497-4FE7-9565-D4508067AA9C}"/>
    <cellStyle name="Lien hypertexte 2" xfId="52" xr:uid="{E422E5E0-D3C9-4EC2-BDDF-C1B4C553E1A1}"/>
    <cellStyle name="Milliers" xfId="2" builtinId="3"/>
    <cellStyle name="Milliers [0] 2" xfId="17" xr:uid="{74A99C3E-758A-4FB9-96A6-00A7327AC51E}"/>
    <cellStyle name="Milliers 2" xfId="9" xr:uid="{91571942-D82E-4200-A4DD-F437576F2E9E}"/>
    <cellStyle name="Milliers 2 2" xfId="12" xr:uid="{1EDF3249-5FAC-4561-9160-40ECB007CC27}"/>
    <cellStyle name="Milliers 3" xfId="16" xr:uid="{DAC42F1B-5214-4A52-96CE-A15AED5A1A41}"/>
    <cellStyle name="Normal" xfId="0" builtinId="0"/>
    <cellStyle name="Normal 2" xfId="8" xr:uid="{95F15B90-30A9-4E06-BDB4-AC0F236FAD23}"/>
    <cellStyle name="Normal 2 2" xfId="13" xr:uid="{D083C5DC-7D30-48E2-B872-3DCAC23C58E5}"/>
    <cellStyle name="Normal 2 2 2" xfId="29" xr:uid="{B42F0ED0-464C-4F8C-BE15-F541FC5C6FDB}"/>
    <cellStyle name="Normal 2 2 2 2" xfId="42" xr:uid="{AA6D9DAC-2AA2-4598-B496-3DC2BA065EAF}"/>
    <cellStyle name="Normal 2 2 3" xfId="40" xr:uid="{6951CDD9-68F4-4C25-B982-EF66162B4630}"/>
    <cellStyle name="Normal 2 2 4" xfId="23" xr:uid="{E14B27EB-9A7F-44A7-9F37-4D1C05F20B77}"/>
    <cellStyle name="Normal 2 3" xfId="31" xr:uid="{35505DBA-6B8C-487A-9954-A179E01EE1D5}"/>
    <cellStyle name="Normal 2 4" xfId="22" xr:uid="{72EBC9FE-5F4C-4D9D-9AC6-00CEC8D17803}"/>
    <cellStyle name="Normal 3" xfId="1" xr:uid="{00000000-0005-0000-0000-000005000000}"/>
    <cellStyle name="Normal 3 2" xfId="4" xr:uid="{00000000-0005-0000-0000-000006000000}"/>
    <cellStyle name="Normal 3 2 2" xfId="41" xr:uid="{F4E54D4B-8094-45D0-BC12-62C2055FC13D}"/>
    <cellStyle name="Normal 3 2 3" xfId="26" xr:uid="{C4CB6CBD-A545-486F-9E2E-EAC8D108A050}"/>
    <cellStyle name="Normal 3 3" xfId="15" xr:uid="{A7342AC9-E65C-4D42-9423-7C765C12E874}"/>
    <cellStyle name="Normal 3 3 2" xfId="33" xr:uid="{B4A3FC1D-B69B-4D71-8E85-B0E40CAB62B7}"/>
    <cellStyle name="Normal 3 3 3" xfId="32" xr:uid="{D464F15B-DFB8-4E31-B6BF-E20D0AF03D7A}"/>
    <cellStyle name="Normal 3 4" xfId="24" xr:uid="{F72F73B7-518E-4353-8007-A8BD326C38CF}"/>
    <cellStyle name="Normal 4" xfId="5" xr:uid="{00000000-0005-0000-0000-000007000000}"/>
    <cellStyle name="Normal 4 2" xfId="38" xr:uid="{26C8B934-2FF7-4DAE-8DD4-1624AF15BD01}"/>
    <cellStyle name="Normal 4 3" xfId="45" xr:uid="{24CDF94A-63A7-4280-8ACA-E0BE4AE82004}"/>
    <cellStyle name="Normal 4 4" xfId="47" xr:uid="{EF01C8E2-C5D5-45C0-B7EA-C4C207BCEE3F}"/>
    <cellStyle name="Normal 4 5" xfId="34" xr:uid="{14C7E0CD-B560-4277-8EC6-35DE57627074}"/>
    <cellStyle name="Normal 5" xfId="46" xr:uid="{4F316F6A-7602-4286-8213-1AD01D1889DD}"/>
    <cellStyle name="Percent 2" xfId="27" xr:uid="{97FE7911-ABD7-46C7-97C9-F4C5EF978536}"/>
    <cellStyle name="Percent 2 2" xfId="35" xr:uid="{D255B691-5AB8-45D3-B594-C7254FD978D9}"/>
    <cellStyle name="Percent 2 2 2" xfId="48" xr:uid="{2D81DCCD-9FDF-4575-8192-A6F39C511F5C}"/>
    <cellStyle name="Percent 3" xfId="39" xr:uid="{B259EFAD-3B69-4E51-A89F-5C80564EFA2F}"/>
    <cellStyle name="Percent 3 2" xfId="30" xr:uid="{BDF00B12-EC72-4D40-A677-27595C6EC817}"/>
    <cellStyle name="Percent 3 2 2" xfId="44" xr:uid="{3FB5A4E4-0F06-4359-896A-EEFBB57A9CCA}"/>
    <cellStyle name="Percent 3 3" xfId="43" xr:uid="{4F6F947C-B727-4775-97F4-8813A33A8367}"/>
    <cellStyle name="Pourcentage" xfId="3" builtinId="5"/>
    <cellStyle name="Pourcentage 2" xfId="10" xr:uid="{CFF422D7-E3F4-4E0D-9144-52B7AC715ADA}"/>
    <cellStyle name="Pourcentage 2 2" xfId="14" xr:uid="{4B3DFC99-1522-4063-A954-61CE5F9F7C2C}"/>
    <cellStyle name="Pourcentage 3" xfId="18" xr:uid="{A36273B2-8437-4C04-A891-C3AC0A5600D3}"/>
    <cellStyle name="Pourcentage 4" xfId="25" xr:uid="{10BB6397-1D34-4F06-8F06-21C9ABB4BBDA}"/>
    <cellStyle name="ハイパーリンク 2" xfId="19" xr:uid="{D98C4481-24D2-48FD-8090-336D5D297221}"/>
    <cellStyle name="桁区切り 2" xfId="20" xr:uid="{8D96DB8C-63DB-4409-8A72-4BA31BDA0E65}"/>
    <cellStyle name="標準 2" xfId="21" xr:uid="{1D6B1FE6-4C2F-45E4-AD6F-03A2A4B3475D}"/>
  </cellStyles>
  <dxfs count="1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1515C"/>
      <color rgb="FFFFC0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6157</xdr:colOff>
      <xdr:row>32</xdr:row>
      <xdr:rowOff>166254</xdr:rowOff>
    </xdr:from>
    <xdr:to>
      <xdr:col>4</xdr:col>
      <xdr:colOff>374072</xdr:colOff>
      <xdr:row>34</xdr:row>
      <xdr:rowOff>34539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37690" y="7396787"/>
          <a:ext cx="2713182" cy="232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154782</xdr:colOff>
      <xdr:row>33</xdr:row>
      <xdr:rowOff>17993</xdr:rowOff>
    </xdr:to>
    <xdr:pic>
      <xdr:nvPicPr>
        <xdr:cNvPr id="3" name="Picture 5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31533" y="7230533"/>
          <a:ext cx="1492516" cy="1968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139964</xdr:colOff>
      <xdr:row>35</xdr:row>
      <xdr:rowOff>0</xdr:rowOff>
    </xdr:from>
    <xdr:to>
      <xdr:col>4</xdr:col>
      <xdr:colOff>6734</xdr:colOff>
      <xdr:row>35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671497" y="7747000"/>
          <a:ext cx="221203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64325</xdr:colOff>
      <xdr:row>0</xdr:row>
      <xdr:rowOff>67215</xdr:rowOff>
    </xdr:from>
    <xdr:to>
      <xdr:col>2</xdr:col>
      <xdr:colOff>371</xdr:colOff>
      <xdr:row>0</xdr:row>
      <xdr:rowOff>608594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25" y="67215"/>
          <a:ext cx="2439389" cy="542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31750</xdr:colOff>
      <xdr:row>3</xdr:row>
      <xdr:rowOff>19050</xdr:rowOff>
    </xdr:to>
    <xdr:pic>
      <xdr:nvPicPr>
        <xdr:cNvPr id="6" name="Picture 47" descr="https://aera-group.fr/wp-content/themes/aera/img/logo-aera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8625" y="190500"/>
          <a:ext cx="1822450" cy="2952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33</xdr:row>
      <xdr:rowOff>21167</xdr:rowOff>
    </xdr:from>
    <xdr:to>
      <xdr:col>5</xdr:col>
      <xdr:colOff>1188046</xdr:colOff>
      <xdr:row>33</xdr:row>
      <xdr:rowOff>180975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6164792"/>
          <a:ext cx="3369271" cy="159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88899</xdr:colOff>
      <xdr:row>10</xdr:row>
      <xdr:rowOff>86788</xdr:rowOff>
    </xdr:from>
    <xdr:to>
      <xdr:col>6</xdr:col>
      <xdr:colOff>975952</xdr:colOff>
      <xdr:row>11</xdr:row>
      <xdr:rowOff>94197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972299" y="3143255"/>
          <a:ext cx="887053" cy="210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38</xdr:row>
          <xdr:rowOff>76200</xdr:rowOff>
        </xdr:from>
        <xdr:to>
          <xdr:col>8</xdr:col>
          <xdr:colOff>714375</xdr:colOff>
          <xdr:row>40</xdr:row>
          <xdr:rowOff>152400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38</xdr:row>
          <xdr:rowOff>142875</xdr:rowOff>
        </xdr:from>
        <xdr:to>
          <xdr:col>0</xdr:col>
          <xdr:colOff>809625</xdr:colOff>
          <xdr:row>39</xdr:row>
          <xdr:rowOff>142875</xdr:rowOff>
        </xdr:to>
        <xdr:sp macro="" textlink="">
          <xdr:nvSpPr>
            <xdr:cNvPr id="8208" name="Object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2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88899</xdr:colOff>
      <xdr:row>20</xdr:row>
      <xdr:rowOff>86788</xdr:rowOff>
    </xdr:from>
    <xdr:to>
      <xdr:col>6</xdr:col>
      <xdr:colOff>975952</xdr:colOff>
      <xdr:row>21</xdr:row>
      <xdr:rowOff>94197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7232" y="3558121"/>
          <a:ext cx="887053" cy="219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88899</xdr:colOff>
      <xdr:row>10</xdr:row>
      <xdr:rowOff>86788</xdr:rowOff>
    </xdr:from>
    <xdr:to>
      <xdr:col>6</xdr:col>
      <xdr:colOff>975952</xdr:colOff>
      <xdr:row>11</xdr:row>
      <xdr:rowOff>94197</xdr:rowOff>
    </xdr:to>
    <xdr:pic>
      <xdr:nvPicPr>
        <xdr:cNvPr id="8" name="Imag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7232" y="3558121"/>
          <a:ext cx="887053" cy="219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88899</xdr:colOff>
      <xdr:row>30</xdr:row>
      <xdr:rowOff>86788</xdr:rowOff>
    </xdr:from>
    <xdr:to>
      <xdr:col>6</xdr:col>
      <xdr:colOff>975952</xdr:colOff>
      <xdr:row>31</xdr:row>
      <xdr:rowOff>94197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7232" y="3558121"/>
          <a:ext cx="887053" cy="219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88899</xdr:colOff>
      <xdr:row>30</xdr:row>
      <xdr:rowOff>86788</xdr:rowOff>
    </xdr:from>
    <xdr:to>
      <xdr:col>6</xdr:col>
      <xdr:colOff>975952</xdr:colOff>
      <xdr:row>31</xdr:row>
      <xdr:rowOff>94197</xdr:rowOff>
    </xdr:to>
    <xdr:pic>
      <xdr:nvPicPr>
        <xdr:cNvPr id="10" name="Imag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67232" y="3558121"/>
          <a:ext cx="887053" cy="219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old%20pro/Desktop/Database%20stove%20users%20-%20%20MMCDMCPA1%20-%20MR4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ves database CPA1"/>
      <sheetName val="Database - main figures"/>
    </sheetNames>
    <sheetDataSet>
      <sheetData sheetId="0"/>
      <sheetData sheetId="1">
        <row r="7">
          <cell r="B7">
            <v>35142</v>
          </cell>
        </row>
        <row r="8">
          <cell r="B8">
            <v>69872</v>
          </cell>
        </row>
        <row r="9">
          <cell r="B9">
            <v>98446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73"/>
  <sheetViews>
    <sheetView tabSelected="1" topLeftCell="A46" zoomScale="80" zoomScaleNormal="80" zoomScalePageLayoutView="90" workbookViewId="0">
      <selection activeCell="L55" sqref="L55"/>
    </sheetView>
  </sheetViews>
  <sheetFormatPr baseColWidth="10" defaultColWidth="11.42578125" defaultRowHeight="15"/>
  <cols>
    <col min="1" max="1" width="1.85546875" customWidth="1"/>
    <col min="2" max="2" width="35.140625" customWidth="1"/>
    <col min="3" max="3" width="19.42578125" customWidth="1"/>
    <col min="4" max="4" width="14.5703125" customWidth="1"/>
    <col min="5" max="5" width="22.5703125" customWidth="1"/>
    <col min="6" max="6" width="32.140625" customWidth="1"/>
    <col min="7" max="7" width="15.42578125" customWidth="1"/>
    <col min="8" max="8" width="16.85546875" customWidth="1"/>
    <col min="9" max="9" width="12.42578125" customWidth="1"/>
    <col min="10" max="10" width="14.5703125" customWidth="1"/>
    <col min="11" max="11" width="13" bestFit="1" customWidth="1"/>
    <col min="12" max="12" width="13" style="377" customWidth="1"/>
    <col min="13" max="13" width="11.140625" bestFit="1" customWidth="1"/>
    <col min="14" max="14" width="10.140625" bestFit="1" customWidth="1"/>
    <col min="15" max="15" width="13.5703125" bestFit="1" customWidth="1"/>
  </cols>
  <sheetData>
    <row r="1" spans="1:12" s="2" customFormat="1" ht="53.1" customHeight="1">
      <c r="L1" s="368"/>
    </row>
    <row r="2" spans="1:12" s="4" customFormat="1" ht="14.25">
      <c r="L2" s="369"/>
    </row>
    <row r="3" spans="1:12" s="6" customFormat="1" ht="14.1" customHeight="1">
      <c r="A3" s="5"/>
      <c r="B3" s="482" t="s">
        <v>0</v>
      </c>
      <c r="C3" s="482"/>
      <c r="D3" s="482"/>
      <c r="E3" s="482"/>
      <c r="F3" s="387" t="s">
        <v>1</v>
      </c>
      <c r="L3" s="370"/>
    </row>
    <row r="4" spans="1:12" s="4" customFormat="1" ht="14.25">
      <c r="L4" s="369"/>
    </row>
    <row r="5" spans="1:12" s="2" customFormat="1" ht="12.75">
      <c r="L5" s="368"/>
    </row>
    <row r="6" spans="1:12" s="7" customFormat="1" ht="14.25">
      <c r="A6" s="8" t="s">
        <v>1033</v>
      </c>
      <c r="C6" s="9">
        <v>44713</v>
      </c>
      <c r="D6" s="9">
        <v>44926</v>
      </c>
      <c r="E6" s="8"/>
      <c r="L6" s="371"/>
    </row>
    <row r="7" spans="1:12" s="10" customFormat="1" ht="13.5" thickBot="1">
      <c r="L7" s="283"/>
    </row>
    <row r="8" spans="1:12" s="10" customFormat="1" ht="14.1" customHeight="1" thickBot="1">
      <c r="E8" s="12" t="s">
        <v>2</v>
      </c>
      <c r="F8" s="13" t="s">
        <v>3</v>
      </c>
      <c r="L8" s="283"/>
    </row>
    <row r="9" spans="1:12" s="10" customFormat="1" ht="14.25" customHeight="1">
      <c r="B9" s="483" t="s">
        <v>4</v>
      </c>
      <c r="C9" s="484"/>
      <c r="D9" s="485"/>
      <c r="E9" s="11">
        <v>1800</v>
      </c>
      <c r="F9" s="14" t="s">
        <v>5</v>
      </c>
      <c r="L9" s="283"/>
    </row>
    <row r="10" spans="1:12" s="10" customFormat="1" ht="14.1" customHeight="1">
      <c r="B10" s="467" t="s">
        <v>6</v>
      </c>
      <c r="C10" s="468"/>
      <c r="D10" s="469"/>
      <c r="E10" s="15">
        <f>E11*E17*E23</f>
        <v>7.0169491525423728</v>
      </c>
      <c r="F10" s="16" t="s">
        <v>7</v>
      </c>
      <c r="G10" s="254"/>
      <c r="H10" s="18"/>
      <c r="I10" s="19"/>
      <c r="J10" s="18"/>
      <c r="L10" s="283"/>
    </row>
    <row r="11" spans="1:12" s="10" customFormat="1" ht="15.75">
      <c r="B11" s="486" t="s">
        <v>8</v>
      </c>
      <c r="C11" s="468"/>
      <c r="D11" s="487"/>
      <c r="E11" s="20">
        <f>E12*1000/3.6</f>
        <v>4.166666666666667</v>
      </c>
      <c r="F11" s="16" t="s">
        <v>9</v>
      </c>
      <c r="L11" s="283"/>
    </row>
    <row r="12" spans="1:12" s="10" customFormat="1" ht="15.75">
      <c r="B12" s="470" t="s">
        <v>10</v>
      </c>
      <c r="C12" s="470"/>
      <c r="D12" s="471"/>
      <c r="E12" s="20">
        <v>1.4999999999999999E-2</v>
      </c>
      <c r="F12" s="16" t="s">
        <v>11</v>
      </c>
      <c r="L12" s="283"/>
    </row>
    <row r="13" spans="1:12" s="10" customFormat="1" ht="15.75">
      <c r="B13" s="470" t="s">
        <v>12</v>
      </c>
      <c r="C13" s="470"/>
      <c r="D13" s="471"/>
      <c r="E13" s="378">
        <v>0.98839999999999995</v>
      </c>
      <c r="F13" s="16" t="s">
        <v>13</v>
      </c>
      <c r="L13" s="283"/>
    </row>
    <row r="14" spans="1:12" s="10" customFormat="1" ht="15.75">
      <c r="B14" s="470" t="s">
        <v>14</v>
      </c>
      <c r="C14" s="470"/>
      <c r="D14" s="471"/>
      <c r="E14" s="379">
        <v>81.599999999999994</v>
      </c>
      <c r="F14" s="16" t="s">
        <v>15</v>
      </c>
      <c r="L14" s="283"/>
    </row>
    <row r="15" spans="1:12" s="10" customFormat="1">
      <c r="B15" s="486" t="s">
        <v>16</v>
      </c>
      <c r="C15" s="468"/>
      <c r="D15" s="487"/>
      <c r="E15" s="21">
        <v>0.18</v>
      </c>
      <c r="F15" s="16" t="s">
        <v>13</v>
      </c>
      <c r="L15" s="283"/>
    </row>
    <row r="16" spans="1:12" s="10" customFormat="1">
      <c r="B16" s="486" t="s">
        <v>17</v>
      </c>
      <c r="C16" s="468"/>
      <c r="D16" s="469"/>
      <c r="E16" s="22">
        <v>0.29499999999999998</v>
      </c>
      <c r="F16" s="16" t="s">
        <v>13</v>
      </c>
      <c r="J16" s="297"/>
      <c r="L16" s="283"/>
    </row>
    <row r="17" spans="1:12" s="10" customFormat="1" ht="12.75">
      <c r="B17" s="467" t="s">
        <v>18</v>
      </c>
      <c r="C17" s="468"/>
      <c r="D17" s="469"/>
      <c r="E17" s="23">
        <f>1-(E15/E16)</f>
        <v>0.38983050847457623</v>
      </c>
      <c r="F17" s="16" t="s">
        <v>13</v>
      </c>
      <c r="L17" s="283"/>
    </row>
    <row r="18" spans="1:12" s="10" customFormat="1" ht="12.75">
      <c r="A18" s="233"/>
      <c r="B18" s="467" t="s">
        <v>19</v>
      </c>
      <c r="C18" s="468"/>
      <c r="D18" s="469"/>
      <c r="E18" s="24">
        <f>'Database - main figures'!B8</f>
        <v>203460</v>
      </c>
      <c r="F18" s="16" t="s">
        <v>20</v>
      </c>
      <c r="L18" s="283"/>
    </row>
    <row r="19" spans="1:12" s="10" customFormat="1" ht="12.75">
      <c r="B19" s="467" t="s">
        <v>21</v>
      </c>
      <c r="C19" s="468"/>
      <c r="D19" s="469"/>
      <c r="E19" s="25">
        <v>180</v>
      </c>
      <c r="F19" s="16" t="s">
        <v>22</v>
      </c>
      <c r="L19" s="283"/>
    </row>
    <row r="20" spans="1:12" s="10" customFormat="1" ht="14.25">
      <c r="B20" s="467" t="s">
        <v>23</v>
      </c>
      <c r="C20" s="468"/>
      <c r="D20" s="469"/>
      <c r="E20" s="25">
        <v>6</v>
      </c>
      <c r="F20" s="16" t="s">
        <v>24</v>
      </c>
      <c r="L20" s="283"/>
    </row>
    <row r="21" spans="1:12" s="10" customFormat="1">
      <c r="B21" s="467" t="s">
        <v>25</v>
      </c>
      <c r="C21" s="472"/>
      <c r="D21" s="473"/>
      <c r="E21" s="227">
        <f>E19*E20/1000</f>
        <v>1.08</v>
      </c>
      <c r="F21" s="16" t="s">
        <v>26</v>
      </c>
      <c r="L21" s="283"/>
    </row>
    <row r="22" spans="1:12" s="10" customFormat="1" ht="14.25">
      <c r="B22" s="474" t="s">
        <v>27</v>
      </c>
      <c r="C22" s="475"/>
      <c r="D22" s="476"/>
      <c r="E22" s="227">
        <v>4</v>
      </c>
      <c r="F22" s="231" t="s">
        <v>28</v>
      </c>
      <c r="L22" s="283"/>
    </row>
    <row r="23" spans="1:12" s="10" customFormat="1">
      <c r="B23" s="477" t="s">
        <v>29</v>
      </c>
      <c r="C23" s="478"/>
      <c r="D23" s="478"/>
      <c r="E23" s="253">
        <f>E22*E21</f>
        <v>4.32</v>
      </c>
      <c r="F23" s="16" t="s">
        <v>30</v>
      </c>
      <c r="L23" s="283"/>
    </row>
    <row r="24" spans="1:12" s="10" customFormat="1" ht="14.25">
      <c r="B24" s="470" t="s">
        <v>33</v>
      </c>
      <c r="C24" s="470"/>
      <c r="D24" s="471"/>
      <c r="E24" s="227">
        <v>0.95</v>
      </c>
      <c r="F24" s="27" t="s">
        <v>34</v>
      </c>
      <c r="L24" s="283"/>
    </row>
    <row r="25" spans="1:12" s="10" customFormat="1" ht="12.75">
      <c r="B25" s="470" t="s">
        <v>35</v>
      </c>
      <c r="C25" s="470"/>
      <c r="D25" s="471"/>
      <c r="E25" s="380">
        <f>E23*(1-E15/E16)*E24</f>
        <v>1.5998644067796608</v>
      </c>
      <c r="F25" s="27" t="s">
        <v>36</v>
      </c>
      <c r="L25" s="283"/>
    </row>
    <row r="26" spans="1:12" s="10" customFormat="1" ht="15.75" customHeight="1">
      <c r="B26" s="467" t="s">
        <v>37</v>
      </c>
      <c r="C26" s="468"/>
      <c r="D26" s="469"/>
      <c r="E26" s="264">
        <f>'MP5 Monitoring surveys'!J213</f>
        <v>0.93809523809523809</v>
      </c>
      <c r="F26" s="27" t="s">
        <v>13</v>
      </c>
      <c r="L26" s="283"/>
    </row>
    <row r="27" spans="1:12" s="10" customFormat="1" ht="15.75" customHeight="1" thickBot="1">
      <c r="B27" s="491" t="s">
        <v>38</v>
      </c>
      <c r="C27" s="492"/>
      <c r="D27" s="493"/>
      <c r="E27" s="263">
        <f>O51+O58+O44</f>
        <v>192281.81571983526</v>
      </c>
      <c r="F27" s="27" t="s">
        <v>20</v>
      </c>
      <c r="L27" s="283"/>
    </row>
    <row r="28" spans="1:12" s="10" customFormat="1" ht="14.1" customHeight="1">
      <c r="B28" s="488" t="s">
        <v>39</v>
      </c>
      <c r="C28" s="489"/>
      <c r="D28" s="490"/>
      <c r="E28" s="230">
        <f>'MP5 Monitoring surveys'!P213</f>
        <v>0.13951261710841237</v>
      </c>
      <c r="F28" s="28" t="s">
        <v>13</v>
      </c>
      <c r="G28" s="18"/>
      <c r="H28" s="18"/>
      <c r="I28" s="19"/>
      <c r="J28" s="18"/>
      <c r="L28" s="283"/>
    </row>
    <row r="29" spans="1:12" s="10" customFormat="1" ht="15.75" customHeight="1" thickBot="1">
      <c r="B29" s="479" t="s">
        <v>40</v>
      </c>
      <c r="C29" s="480"/>
      <c r="D29" s="481"/>
      <c r="E29" s="29">
        <f>D6-C6+1</f>
        <v>214</v>
      </c>
      <c r="F29" s="30" t="s">
        <v>41</v>
      </c>
      <c r="G29" s="18"/>
      <c r="H29" s="18"/>
      <c r="I29" s="18"/>
      <c r="J29" s="18"/>
      <c r="L29" s="283"/>
    </row>
    <row r="30" spans="1:12" s="10" customFormat="1" ht="14.1" customHeight="1">
      <c r="B30" s="31" t="s">
        <v>42</v>
      </c>
      <c r="C30" s="31"/>
      <c r="F30" s="17"/>
      <c r="G30" s="18"/>
      <c r="H30" s="18"/>
      <c r="I30" s="19"/>
      <c r="J30" s="18"/>
      <c r="L30" s="283"/>
    </row>
    <row r="31" spans="1:12" s="10" customFormat="1" ht="16.5" customHeight="1">
      <c r="G31" s="18"/>
      <c r="H31" s="18"/>
      <c r="I31" s="284"/>
      <c r="J31" s="18"/>
      <c r="L31" s="283"/>
    </row>
    <row r="32" spans="1:12" s="7" customFormat="1" ht="14.25">
      <c r="B32" s="384" t="s">
        <v>43</v>
      </c>
      <c r="C32" s="384"/>
      <c r="D32" s="384"/>
      <c r="E32" s="384"/>
      <c r="L32" s="371"/>
    </row>
    <row r="33" spans="1:18" s="10" customFormat="1" ht="12.75">
      <c r="E33" s="32"/>
      <c r="L33" s="283"/>
    </row>
    <row r="34" spans="1:18" s="10" customFormat="1" ht="14.25">
      <c r="B34" s="32"/>
      <c r="C34" s="33"/>
      <c r="F34" s="34" t="s">
        <v>44</v>
      </c>
      <c r="L34" s="283"/>
      <c r="N34" s="3"/>
    </row>
    <row r="35" spans="1:18" s="10" customFormat="1" ht="12.75">
      <c r="D35" s="252"/>
      <c r="G35" s="17"/>
      <c r="L35" s="283"/>
      <c r="N35" s="49"/>
    </row>
    <row r="36" spans="1:18" s="3" customFormat="1" ht="12.75">
      <c r="E36" s="243"/>
      <c r="L36" s="243"/>
    </row>
    <row r="37" spans="1:18" s="3" customFormat="1" ht="12.75">
      <c r="A37" s="2"/>
      <c r="B37" s="2" t="s">
        <v>45</v>
      </c>
      <c r="D37" s="285"/>
      <c r="E37" s="2"/>
      <c r="F37" s="2"/>
      <c r="G37" s="2"/>
      <c r="H37" s="2"/>
      <c r="I37" s="2"/>
      <c r="J37" s="2"/>
      <c r="K37" s="2"/>
      <c r="L37" s="368"/>
      <c r="M37" s="2"/>
      <c r="N37" s="2"/>
      <c r="O37" s="2"/>
    </row>
    <row r="38" spans="1:18" s="3" customFormat="1" ht="12.75">
      <c r="A38" s="2"/>
      <c r="B38" s="2" t="s">
        <v>46</v>
      </c>
      <c r="D38" s="285"/>
      <c r="E38" s="2"/>
      <c r="F38" s="2"/>
      <c r="G38" s="2"/>
      <c r="H38" s="2"/>
      <c r="I38" s="2"/>
      <c r="J38" s="2"/>
      <c r="K38" s="2"/>
      <c r="L38" s="368"/>
      <c r="M38" s="2"/>
      <c r="N38" s="2"/>
      <c r="O38" s="2"/>
    </row>
    <row r="39" spans="1:18" s="3" customFormat="1" ht="12.75">
      <c r="A39" s="2"/>
      <c r="B39" s="2" t="s">
        <v>47</v>
      </c>
      <c r="D39" s="285"/>
      <c r="E39" s="2"/>
      <c r="F39" s="2"/>
      <c r="G39" s="2"/>
      <c r="H39" s="2"/>
      <c r="J39" s="2"/>
      <c r="K39" s="2"/>
      <c r="L39" s="368"/>
      <c r="M39" s="2"/>
      <c r="N39" s="2"/>
      <c r="O39" s="2"/>
    </row>
    <row r="40" spans="1:18" s="3" customFormat="1" ht="12.75">
      <c r="A40" s="2"/>
      <c r="B40" s="2" t="s">
        <v>48</v>
      </c>
      <c r="D40" s="285"/>
      <c r="E40" s="2"/>
      <c r="L40" s="243"/>
      <c r="N40" s="2"/>
      <c r="O40" s="2"/>
    </row>
    <row r="41" spans="1:18" s="2" customFormat="1" ht="19.5" thickBot="1">
      <c r="C41" s="358">
        <v>2018</v>
      </c>
      <c r="J41" s="368"/>
    </row>
    <row r="42" spans="1:18" s="2" customFormat="1" ht="19.5">
      <c r="B42" s="331"/>
      <c r="C42" s="332" t="s">
        <v>49</v>
      </c>
      <c r="D42" s="465" t="s">
        <v>1062</v>
      </c>
      <c r="E42" s="465" t="s">
        <v>1063</v>
      </c>
      <c r="F42" s="333" t="s">
        <v>50</v>
      </c>
      <c r="G42" s="333" t="s">
        <v>51</v>
      </c>
      <c r="H42" s="333" t="s">
        <v>52</v>
      </c>
      <c r="I42" s="334" t="s">
        <v>53</v>
      </c>
      <c r="J42" s="333" t="s">
        <v>54</v>
      </c>
      <c r="K42" s="333" t="s">
        <v>55</v>
      </c>
      <c r="L42" s="372" t="s">
        <v>1060</v>
      </c>
      <c r="M42" s="334" t="s">
        <v>56</v>
      </c>
      <c r="N42" s="335" t="s">
        <v>57</v>
      </c>
      <c r="O42" s="372" t="s">
        <v>58</v>
      </c>
      <c r="P42" s="336" t="s">
        <v>59</v>
      </c>
      <c r="Q42" s="336" t="s">
        <v>60</v>
      </c>
      <c r="R42" s="336" t="s">
        <v>1058</v>
      </c>
    </row>
    <row r="43" spans="1:18" s="2" customFormat="1" ht="19.5">
      <c r="B43" s="337"/>
      <c r="C43" s="338" t="s">
        <v>61</v>
      </c>
      <c r="D43" s="338" t="s">
        <v>61</v>
      </c>
      <c r="E43" s="338" t="s">
        <v>61</v>
      </c>
      <c r="F43" s="339" t="s">
        <v>13</v>
      </c>
      <c r="G43" s="339" t="s">
        <v>11</v>
      </c>
      <c r="H43" s="340" t="s">
        <v>62</v>
      </c>
      <c r="I43" s="341" t="s">
        <v>36</v>
      </c>
      <c r="J43" s="339" t="s">
        <v>13</v>
      </c>
      <c r="K43" s="339" t="s">
        <v>13</v>
      </c>
      <c r="L43" s="373" t="s">
        <v>63</v>
      </c>
      <c r="M43" s="342" t="s">
        <v>36</v>
      </c>
      <c r="N43" s="342" t="s">
        <v>34</v>
      </c>
      <c r="O43" s="342" t="s">
        <v>64</v>
      </c>
      <c r="P43" s="343" t="s">
        <v>13</v>
      </c>
      <c r="Q43" s="344" t="s">
        <v>65</v>
      </c>
      <c r="R43" s="344" t="s">
        <v>34</v>
      </c>
    </row>
    <row r="44" spans="1:18" s="2" customFormat="1" ht="15.75">
      <c r="B44" s="345" t="s">
        <v>295</v>
      </c>
      <c r="C44" s="423">
        <f>(D44+E44)</f>
        <v>29226</v>
      </c>
      <c r="D44" s="423">
        <f>ROUNDUP(F44*G44*(E29/365)*H44*I44*(13000*P44)*R44,0)</f>
        <v>10812</v>
      </c>
      <c r="E44" s="423">
        <f>ROUNDDOWN(F44*G44*(E29/365)*H44*I44*(O44-13000*P44)*R44,0)</f>
        <v>18414</v>
      </c>
      <c r="F44" s="361">
        <f>E13</f>
        <v>0.98839999999999995</v>
      </c>
      <c r="G44" s="362">
        <f>E12</f>
        <v>1.4999999999999999E-2</v>
      </c>
      <c r="H44" s="346">
        <f>E14</f>
        <v>81.599999999999994</v>
      </c>
      <c r="I44" s="347">
        <f>M44*(1-J44/K44)*N44</f>
        <v>1.5312987893462469</v>
      </c>
      <c r="J44" s="348">
        <f>$E$15</f>
        <v>0.18</v>
      </c>
      <c r="K44" s="364">
        <v>0.29499999999999998</v>
      </c>
      <c r="L44" s="374">
        <f>'MP5 Monitoring surveys'!H228</f>
        <v>1.044776119402985</v>
      </c>
      <c r="M44" s="349">
        <f>Q44/L44</f>
        <v>4.1348571428571432</v>
      </c>
      <c r="N44" s="349">
        <v>0.95</v>
      </c>
      <c r="O44" s="365">
        <f>'Database - main figures'!D18*P44</f>
        <v>32519.462686567163</v>
      </c>
      <c r="P44" s="363">
        <f>'MP5 Monitoring surveys'!I229</f>
        <v>0.92537313432835822</v>
      </c>
      <c r="Q44" s="349">
        <f>E23</f>
        <v>4.32</v>
      </c>
      <c r="R44" s="363">
        <f>1-'MP5 Monitoring surveys'!M229</f>
        <v>0.82744841129477831</v>
      </c>
    </row>
    <row r="45" spans="1:18" s="2" customFormat="1" ht="16.5" thickBot="1">
      <c r="B45" s="345" t="s">
        <v>66</v>
      </c>
      <c r="C45" s="424">
        <f>C44</f>
        <v>29226</v>
      </c>
      <c r="D45" s="424"/>
      <c r="E45" s="424"/>
      <c r="F45" s="350" t="s">
        <v>67</v>
      </c>
      <c r="G45" s="351" t="s">
        <v>67</v>
      </c>
      <c r="H45" s="352" t="s">
        <v>67</v>
      </c>
      <c r="I45" s="353"/>
      <c r="J45" s="354" t="s">
        <v>67</v>
      </c>
      <c r="K45" s="355" t="s">
        <v>67</v>
      </c>
      <c r="L45" s="375"/>
      <c r="M45" s="355" t="s">
        <v>67</v>
      </c>
      <c r="N45" s="355" t="s">
        <v>67</v>
      </c>
      <c r="O45" s="355" t="s">
        <v>67</v>
      </c>
      <c r="P45" s="355"/>
      <c r="Q45" s="356" t="s">
        <v>67</v>
      </c>
      <c r="R45" s="356"/>
    </row>
    <row r="46" spans="1:18" s="2" customFormat="1"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76"/>
      <c r="M46" s="357"/>
      <c r="N46" s="357"/>
      <c r="O46" s="357"/>
      <c r="P46" s="357"/>
    </row>
    <row r="47" spans="1:18" s="2" customFormat="1"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76"/>
      <c r="M47" s="357"/>
      <c r="N47" s="357"/>
      <c r="O47" s="357"/>
      <c r="P47" s="357"/>
    </row>
    <row r="48" spans="1:18" s="2" customFormat="1" ht="19.5" thickBot="1">
      <c r="B48" s="357"/>
      <c r="C48" s="358">
        <v>2019</v>
      </c>
      <c r="D48" s="358"/>
      <c r="E48" s="358"/>
      <c r="F48" s="357"/>
      <c r="G48" s="357"/>
      <c r="H48" s="357"/>
      <c r="I48" s="357"/>
      <c r="J48" s="357"/>
      <c r="K48" s="357"/>
      <c r="L48" s="376"/>
      <c r="M48" s="357"/>
      <c r="N48" s="357"/>
      <c r="O48" s="357"/>
      <c r="P48" s="357"/>
    </row>
    <row r="49" spans="2:18" s="2" customFormat="1" ht="19.5">
      <c r="B49" s="331"/>
      <c r="C49" s="332" t="s">
        <v>49</v>
      </c>
      <c r="D49" s="465" t="s">
        <v>1062</v>
      </c>
      <c r="E49" s="465" t="s">
        <v>1063</v>
      </c>
      <c r="F49" s="333" t="s">
        <v>50</v>
      </c>
      <c r="G49" s="333" t="s">
        <v>51</v>
      </c>
      <c r="H49" s="333" t="s">
        <v>52</v>
      </c>
      <c r="I49" s="334" t="s">
        <v>53</v>
      </c>
      <c r="J49" s="333" t="s">
        <v>54</v>
      </c>
      <c r="K49" s="333" t="s">
        <v>55</v>
      </c>
      <c r="L49" s="372" t="s">
        <v>1060</v>
      </c>
      <c r="M49" s="334" t="s">
        <v>56</v>
      </c>
      <c r="N49" s="335" t="s">
        <v>57</v>
      </c>
      <c r="O49" s="372" t="s">
        <v>58</v>
      </c>
      <c r="P49" s="336" t="s">
        <v>59</v>
      </c>
      <c r="Q49" s="336" t="s">
        <v>60</v>
      </c>
      <c r="R49" s="336" t="s">
        <v>1058</v>
      </c>
    </row>
    <row r="50" spans="2:18" s="2" customFormat="1" ht="19.5">
      <c r="B50" s="337"/>
      <c r="C50" s="338" t="s">
        <v>61</v>
      </c>
      <c r="D50" s="338" t="s">
        <v>61</v>
      </c>
      <c r="E50" s="338" t="s">
        <v>61</v>
      </c>
      <c r="F50" s="339" t="s">
        <v>13</v>
      </c>
      <c r="G50" s="339" t="s">
        <v>11</v>
      </c>
      <c r="H50" s="340" t="s">
        <v>62</v>
      </c>
      <c r="I50" s="341" t="s">
        <v>36</v>
      </c>
      <c r="J50" s="339" t="s">
        <v>13</v>
      </c>
      <c r="K50" s="339" t="s">
        <v>13</v>
      </c>
      <c r="L50" s="373" t="s">
        <v>63</v>
      </c>
      <c r="M50" s="342" t="s">
        <v>36</v>
      </c>
      <c r="N50" s="342" t="s">
        <v>34</v>
      </c>
      <c r="O50" s="342" t="s">
        <v>64</v>
      </c>
      <c r="P50" s="343" t="s">
        <v>13</v>
      </c>
      <c r="Q50" s="344" t="s">
        <v>65</v>
      </c>
      <c r="R50" s="344" t="s">
        <v>34</v>
      </c>
    </row>
    <row r="51" spans="2:18" s="2" customFormat="1" ht="16.5" thickBot="1">
      <c r="B51" s="345" t="s">
        <v>295</v>
      </c>
      <c r="C51" s="424">
        <f>(D51+E51)</f>
        <v>58572</v>
      </c>
      <c r="D51" s="466">
        <f>ROUNDDOWN(F51*G51*(E29/365)*H51*I51*0*R51,0)</f>
        <v>0</v>
      </c>
      <c r="E51" s="466">
        <f>ROUNDDOWN(F51*G51*(E29/365)*H51*I51*O51*R51,0)</f>
        <v>58572</v>
      </c>
      <c r="F51" s="361">
        <f>E13</f>
        <v>0.98839999999999995</v>
      </c>
      <c r="G51" s="362">
        <f>E12</f>
        <v>1.4999999999999999E-2</v>
      </c>
      <c r="H51" s="346">
        <f>E14</f>
        <v>81.599999999999994</v>
      </c>
      <c r="I51" s="347">
        <f>M51*(1-J51/K51)*N51</f>
        <v>1.4529702682281824</v>
      </c>
      <c r="J51" s="348">
        <f>$E$15</f>
        <v>0.18</v>
      </c>
      <c r="K51" s="364">
        <f>'MP5 stoves efficiency '!F7</f>
        <v>0.29411111111111105</v>
      </c>
      <c r="L51" s="374">
        <f>'MP5 Monitoring surveys'!H241</f>
        <v>1.095890410958904</v>
      </c>
      <c r="M51" s="349">
        <f>Q51/L51</f>
        <v>3.9420000000000006</v>
      </c>
      <c r="N51" s="349">
        <v>0.95</v>
      </c>
      <c r="O51" s="365">
        <f>'Database - main figures'!D19*P51</f>
        <v>64129.095890410958</v>
      </c>
      <c r="P51" s="363">
        <f>'MP5 Monitoring surveys'!I242</f>
        <v>0.9178082191780822</v>
      </c>
      <c r="Q51" s="349">
        <f>E23</f>
        <v>4.32</v>
      </c>
      <c r="R51" s="363">
        <f>1-'MP5 Monitoring surveys'!M242</f>
        <v>0.88623030613856635</v>
      </c>
    </row>
    <row r="52" spans="2:18" s="2" customFormat="1" ht="16.5" thickBot="1">
      <c r="B52" s="345" t="s">
        <v>66</v>
      </c>
      <c r="C52" s="424">
        <f>C51</f>
        <v>58572</v>
      </c>
      <c r="D52" s="424"/>
      <c r="E52" s="424"/>
      <c r="F52" s="350" t="s">
        <v>67</v>
      </c>
      <c r="G52" s="351" t="s">
        <v>67</v>
      </c>
      <c r="H52" s="352" t="s">
        <v>67</v>
      </c>
      <c r="I52" s="353"/>
      <c r="J52" s="354" t="s">
        <v>67</v>
      </c>
      <c r="K52" s="355" t="s">
        <v>67</v>
      </c>
      <c r="L52" s="375"/>
      <c r="M52" s="355" t="s">
        <v>67</v>
      </c>
      <c r="N52" s="355" t="s">
        <v>67</v>
      </c>
      <c r="O52" s="355" t="s">
        <v>67</v>
      </c>
      <c r="P52" s="355"/>
      <c r="Q52" s="356" t="s">
        <v>67</v>
      </c>
      <c r="R52" s="356"/>
    </row>
    <row r="53" spans="2:18" s="2" customFormat="1"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76"/>
      <c r="M53" s="357"/>
      <c r="N53" s="357"/>
      <c r="O53" s="357"/>
      <c r="P53" s="357"/>
    </row>
    <row r="54" spans="2:18" s="2" customFormat="1"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76"/>
      <c r="M54" s="357"/>
      <c r="N54" s="357"/>
      <c r="O54" s="357"/>
      <c r="P54" s="357"/>
    </row>
    <row r="55" spans="2:18" s="2" customFormat="1" ht="19.5" thickBot="1">
      <c r="B55" s="357"/>
      <c r="C55" s="358">
        <v>2020</v>
      </c>
      <c r="D55" s="358"/>
      <c r="E55" s="358"/>
      <c r="F55" s="357"/>
      <c r="G55" s="357"/>
      <c r="H55" s="357"/>
      <c r="I55" s="357"/>
      <c r="J55" s="357"/>
      <c r="K55" s="357"/>
      <c r="L55" s="376"/>
      <c r="M55" s="357"/>
      <c r="N55" s="357"/>
      <c r="O55" s="357"/>
      <c r="P55" s="357"/>
    </row>
    <row r="56" spans="2:18" s="2" customFormat="1" ht="19.5">
      <c r="B56" s="331"/>
      <c r="C56" s="332" t="s">
        <v>49</v>
      </c>
      <c r="D56" s="465" t="s">
        <v>1062</v>
      </c>
      <c r="E56" s="465" t="s">
        <v>1063</v>
      </c>
      <c r="F56" s="333" t="s">
        <v>50</v>
      </c>
      <c r="G56" s="333" t="s">
        <v>51</v>
      </c>
      <c r="H56" s="333" t="s">
        <v>52</v>
      </c>
      <c r="I56" s="334" t="s">
        <v>53</v>
      </c>
      <c r="J56" s="333" t="s">
        <v>54</v>
      </c>
      <c r="K56" s="333" t="s">
        <v>55</v>
      </c>
      <c r="L56" s="372" t="s">
        <v>1060</v>
      </c>
      <c r="M56" s="334" t="s">
        <v>56</v>
      </c>
      <c r="N56" s="335" t="s">
        <v>57</v>
      </c>
      <c r="O56" s="372" t="s">
        <v>58</v>
      </c>
      <c r="P56" s="336" t="s">
        <v>59</v>
      </c>
      <c r="Q56" s="336" t="s">
        <v>60</v>
      </c>
      <c r="R56" s="336" t="s">
        <v>1058</v>
      </c>
    </row>
    <row r="57" spans="2:18" s="2" customFormat="1" ht="19.5">
      <c r="B57" s="337"/>
      <c r="C57" s="338" t="s">
        <v>61</v>
      </c>
      <c r="D57" s="338" t="s">
        <v>61</v>
      </c>
      <c r="E57" s="338" t="s">
        <v>61</v>
      </c>
      <c r="F57" s="339" t="s">
        <v>13</v>
      </c>
      <c r="G57" s="339" t="s">
        <v>11</v>
      </c>
      <c r="H57" s="340" t="s">
        <v>62</v>
      </c>
      <c r="I57" s="341" t="s">
        <v>36</v>
      </c>
      <c r="J57" s="339" t="s">
        <v>13</v>
      </c>
      <c r="K57" s="339" t="s">
        <v>13</v>
      </c>
      <c r="L57" s="373" t="s">
        <v>63</v>
      </c>
      <c r="M57" s="342" t="s">
        <v>36</v>
      </c>
      <c r="N57" s="342" t="s">
        <v>34</v>
      </c>
      <c r="O57" s="342" t="s">
        <v>64</v>
      </c>
      <c r="P57" s="343" t="s">
        <v>13</v>
      </c>
      <c r="Q57" s="344" t="s">
        <v>65</v>
      </c>
      <c r="R57" s="344" t="s">
        <v>34</v>
      </c>
    </row>
    <row r="58" spans="2:18" s="2" customFormat="1" ht="16.5" thickBot="1">
      <c r="B58" s="345" t="s">
        <v>295</v>
      </c>
      <c r="C58" s="424">
        <f>(D58+E58)</f>
        <v>89828</v>
      </c>
      <c r="D58" s="466">
        <f>ROUNDDOWN(F58*G58*(E29/365)*H58*I58*0*R58,0)</f>
        <v>0</v>
      </c>
      <c r="E58" s="466">
        <f>ROUNDDOWN(F58*G58*(E29/365)*H58*I58*O58*R58,0)</f>
        <v>89828</v>
      </c>
      <c r="F58" s="361">
        <f>E13</f>
        <v>0.98839999999999995</v>
      </c>
      <c r="G58" s="362">
        <f>E12</f>
        <v>1.4999999999999999E-2</v>
      </c>
      <c r="H58" s="346">
        <f>E14</f>
        <v>81.599999999999994</v>
      </c>
      <c r="I58" s="347">
        <f>M58*(1-J58/K58)*N58</f>
        <v>1.5304934297215314</v>
      </c>
      <c r="J58" s="348">
        <f>$E$15</f>
        <v>0.18</v>
      </c>
      <c r="K58" s="364">
        <f>'MP5 stoves efficiency '!I7</f>
        <v>0.29455555555555551</v>
      </c>
      <c r="L58" s="374">
        <f>'MP5 Monitoring surveys'!H254</f>
        <v>1.0428571428571429</v>
      </c>
      <c r="M58" s="349">
        <f>Q58/L58</f>
        <v>4.1424657534246574</v>
      </c>
      <c r="N58" s="349">
        <v>0.95</v>
      </c>
      <c r="O58" s="365">
        <f>'Database - main figures'!D20*P58</f>
        <v>95633.257142857139</v>
      </c>
      <c r="P58" s="363">
        <f>'MP5 Monitoring surveys'!I255</f>
        <v>0.97142857142857142</v>
      </c>
      <c r="Q58" s="349">
        <f>E23</f>
        <v>4.32</v>
      </c>
      <c r="R58" s="363">
        <f>1-'MP5 Monitoring surveys'!M255</f>
        <v>0.86524680026592005</v>
      </c>
    </row>
    <row r="59" spans="2:18" s="2" customFormat="1" ht="16.5" thickBot="1">
      <c r="B59" s="345" t="s">
        <v>66</v>
      </c>
      <c r="C59" s="424">
        <f>C58</f>
        <v>89828</v>
      </c>
      <c r="D59" s="424"/>
      <c r="E59" s="424"/>
      <c r="F59" s="350" t="s">
        <v>67</v>
      </c>
      <c r="G59" s="351" t="s">
        <v>67</v>
      </c>
      <c r="H59" s="352" t="s">
        <v>67</v>
      </c>
      <c r="I59" s="353"/>
      <c r="J59" s="354" t="s">
        <v>67</v>
      </c>
      <c r="K59" s="355" t="s">
        <v>67</v>
      </c>
      <c r="L59" s="375"/>
      <c r="M59" s="355" t="s">
        <v>67</v>
      </c>
      <c r="N59" s="355" t="s">
        <v>67</v>
      </c>
      <c r="O59" s="355" t="s">
        <v>67</v>
      </c>
      <c r="P59" s="355"/>
      <c r="Q59" s="356" t="s">
        <v>67</v>
      </c>
      <c r="R59" s="356"/>
    </row>
    <row r="60" spans="2:18" s="2" customFormat="1">
      <c r="B60"/>
      <c r="C60"/>
      <c r="D60"/>
      <c r="E60"/>
      <c r="F60"/>
      <c r="G60"/>
      <c r="H60"/>
      <c r="I60"/>
      <c r="J60" s="377"/>
      <c r="K60"/>
      <c r="L60"/>
    </row>
    <row r="61" spans="2:18">
      <c r="J61" s="377"/>
      <c r="L61"/>
    </row>
    <row r="62" spans="2:18" s="2" customFormat="1" ht="18.600000000000001" customHeight="1" thickBot="1">
      <c r="B62"/>
      <c r="C62" t="s">
        <v>68</v>
      </c>
      <c r="D62"/>
      <c r="E62"/>
      <c r="F62"/>
      <c r="G62"/>
      <c r="H62"/>
      <c r="I62"/>
      <c r="J62" s="377"/>
      <c r="K62"/>
      <c r="L62"/>
      <c r="M62" s="421">
        <f>O58+O51+O44</f>
        <v>192281.81571983526</v>
      </c>
    </row>
    <row r="63" spans="2:18" s="2" customFormat="1" ht="16.5" thickBot="1">
      <c r="B63" s="359">
        <v>2022</v>
      </c>
      <c r="C63" s="451">
        <f>C58+C51+C44</f>
        <v>177626</v>
      </c>
      <c r="D63"/>
      <c r="E63" s="366"/>
      <c r="F63"/>
      <c r="G63"/>
      <c r="H63"/>
      <c r="I63"/>
      <c r="J63" s="377"/>
      <c r="K63"/>
      <c r="L63"/>
      <c r="M63" s="421"/>
    </row>
    <row r="64" spans="2:18" s="2" customFormat="1" ht="16.5" thickBot="1">
      <c r="B64" s="360" t="s">
        <v>66</v>
      </c>
      <c r="C64" s="452">
        <f>C45+C52+C59</f>
        <v>177626</v>
      </c>
      <c r="D64" s="366"/>
      <c r="E64" s="366"/>
      <c r="F64"/>
      <c r="G64"/>
      <c r="H64"/>
      <c r="I64"/>
      <c r="J64" s="377"/>
      <c r="K64"/>
      <c r="L64"/>
    </row>
    <row r="65" spans="1:15" s="2" customFormat="1" ht="15.75" thickBot="1">
      <c r="B65"/>
      <c r="C65"/>
      <c r="D65"/>
      <c r="E65"/>
      <c r="F65"/>
      <c r="G65"/>
      <c r="H65"/>
      <c r="I65"/>
      <c r="J65"/>
      <c r="K65"/>
      <c r="L65" s="377"/>
      <c r="M65"/>
      <c r="N65"/>
    </row>
    <row r="66" spans="1:15" s="2" customFormat="1" ht="16.5" thickBot="1">
      <c r="B66" s="359" t="s">
        <v>1056</v>
      </c>
      <c r="C66" s="451">
        <v>251264.35523405141</v>
      </c>
      <c r="D66"/>
      <c r="E66"/>
      <c r="F66"/>
      <c r="G66"/>
      <c r="H66"/>
      <c r="I66"/>
      <c r="J66"/>
      <c r="K66"/>
      <c r="L66" s="377"/>
      <c r="M66"/>
      <c r="N66"/>
    </row>
    <row r="67" spans="1:15" s="2" customFormat="1" ht="16.5" thickBot="1">
      <c r="B67" s="359" t="s">
        <v>1057</v>
      </c>
      <c r="C67" s="451">
        <f>C66*(214/365)</f>
        <v>147316.63567147125</v>
      </c>
      <c r="D67"/>
      <c r="E67"/>
      <c r="F67"/>
      <c r="G67"/>
      <c r="H67"/>
      <c r="I67"/>
      <c r="J67"/>
      <c r="K67"/>
      <c r="L67" s="377"/>
      <c r="M67"/>
      <c r="N67"/>
    </row>
    <row r="68" spans="1:15" s="2" customFormat="1" ht="16.5" thickBot="1">
      <c r="B68" s="461" t="s">
        <v>1059</v>
      </c>
      <c r="C68" s="462">
        <f>(C63-C67)/C63</f>
        <v>0.170635854708932</v>
      </c>
      <c r="D68"/>
      <c r="E68"/>
      <c r="F68"/>
      <c r="G68"/>
      <c r="H68"/>
      <c r="I68"/>
      <c r="J68"/>
      <c r="K68"/>
      <c r="L68" s="377"/>
      <c r="M68"/>
      <c r="N68"/>
    </row>
    <row r="69" spans="1:15" s="2" customFormat="1">
      <c r="A69"/>
      <c r="B69"/>
      <c r="C69"/>
      <c r="D69"/>
      <c r="E69"/>
      <c r="F69"/>
      <c r="G69"/>
      <c r="H69"/>
      <c r="I69"/>
      <c r="J69"/>
      <c r="K69"/>
      <c r="L69" s="377"/>
      <c r="M69"/>
      <c r="N69"/>
      <c r="O69"/>
    </row>
    <row r="70" spans="1:15" s="2" customFormat="1" ht="15.75" thickBot="1">
      <c r="A70"/>
      <c r="B70"/>
      <c r="C70"/>
      <c r="D70"/>
      <c r="E70"/>
      <c r="F70"/>
      <c r="G70"/>
      <c r="H70"/>
      <c r="I70"/>
      <c r="J70"/>
      <c r="K70"/>
      <c r="L70" s="377"/>
      <c r="M70"/>
      <c r="N70"/>
      <c r="O70"/>
    </row>
    <row r="71" spans="1:15" s="2" customFormat="1" ht="16.5" thickBot="1">
      <c r="A71"/>
      <c r="B71" s="461" t="s">
        <v>1062</v>
      </c>
      <c r="C71" s="451">
        <f>D44+D51+D58</f>
        <v>10812</v>
      </c>
      <c r="D71"/>
      <c r="E71"/>
      <c r="F71"/>
      <c r="G71"/>
      <c r="H71"/>
      <c r="I71"/>
      <c r="J71"/>
      <c r="K71"/>
      <c r="L71" s="377"/>
      <c r="M71"/>
      <c r="N71"/>
      <c r="O71"/>
    </row>
    <row r="72" spans="1:15" s="2" customFormat="1" ht="16.5" thickBot="1">
      <c r="A72"/>
      <c r="B72" s="461" t="s">
        <v>1063</v>
      </c>
      <c r="C72" s="451">
        <f>E44+E51+E58</f>
        <v>166814</v>
      </c>
      <c r="D72"/>
      <c r="E72"/>
      <c r="F72"/>
      <c r="G72"/>
      <c r="H72"/>
      <c r="I72"/>
      <c r="J72"/>
      <c r="K72"/>
      <c r="L72" s="377"/>
      <c r="M72"/>
      <c r="N72"/>
      <c r="O72"/>
    </row>
    <row r="73" spans="1:15" s="2" customFormat="1" ht="16.5" thickBot="1">
      <c r="A73"/>
      <c r="B73" s="461" t="s">
        <v>68</v>
      </c>
      <c r="C73" s="451">
        <f>C71+C72</f>
        <v>177626</v>
      </c>
      <c r="D73"/>
      <c r="E73"/>
      <c r="F73"/>
      <c r="G73"/>
      <c r="H73"/>
      <c r="I73"/>
      <c r="J73"/>
      <c r="K73"/>
      <c r="L73" s="377"/>
      <c r="M73"/>
      <c r="N73"/>
      <c r="O73"/>
    </row>
  </sheetData>
  <mergeCells count="22">
    <mergeCell ref="B29:D29"/>
    <mergeCell ref="B3:E3"/>
    <mergeCell ref="B9:D9"/>
    <mergeCell ref="B10:D10"/>
    <mergeCell ref="B11:D11"/>
    <mergeCell ref="B15:D15"/>
    <mergeCell ref="B13:D13"/>
    <mergeCell ref="B12:D12"/>
    <mergeCell ref="B14:D14"/>
    <mergeCell ref="B16:D16"/>
    <mergeCell ref="B17:D17"/>
    <mergeCell ref="B18:D18"/>
    <mergeCell ref="B19:D19"/>
    <mergeCell ref="B28:D28"/>
    <mergeCell ref="B25:D25"/>
    <mergeCell ref="B27:D27"/>
    <mergeCell ref="B26:D26"/>
    <mergeCell ref="B24:D24"/>
    <mergeCell ref="B20:D20"/>
    <mergeCell ref="B21:D21"/>
    <mergeCell ref="B22:D22"/>
    <mergeCell ref="B23:D23"/>
  </mergeCells>
  <phoneticPr fontId="4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7A20-86BC-49A8-BCBD-DA4008A773F3}">
  <sheetPr>
    <tabColor rgb="FFFFFF00"/>
  </sheetPr>
  <dimension ref="A1:R72"/>
  <sheetViews>
    <sheetView topLeftCell="E31" workbookViewId="0">
      <selection activeCell="K46" sqref="K46"/>
    </sheetView>
  </sheetViews>
  <sheetFormatPr baseColWidth="10" defaultColWidth="11.42578125" defaultRowHeight="15"/>
  <cols>
    <col min="1" max="1" width="6.42578125" customWidth="1"/>
    <col min="2" max="2" width="26.85546875" customWidth="1"/>
    <col min="3" max="3" width="11.42578125" customWidth="1"/>
    <col min="5" max="5" width="13" customWidth="1"/>
    <col min="6" max="6" width="14.5703125" customWidth="1"/>
    <col min="7" max="7" width="15.5703125" customWidth="1"/>
    <col min="8" max="8" width="13.5703125" customWidth="1"/>
    <col min="9" max="9" width="12.42578125" customWidth="1"/>
    <col min="10" max="10" width="11.85546875" customWidth="1"/>
    <col min="11" max="11" width="11.5703125" customWidth="1"/>
    <col min="12" max="12" width="11.42578125" customWidth="1"/>
    <col min="13" max="14" width="13" customWidth="1"/>
    <col min="15" max="15" width="15" customWidth="1"/>
    <col min="16" max="16" width="12.42578125" customWidth="1"/>
    <col min="18" max="18" width="15.42578125" customWidth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0.5" customHeight="1">
      <c r="A2" s="2"/>
      <c r="C2" s="2"/>
      <c r="D2" s="2"/>
      <c r="E2" s="2"/>
      <c r="F2" s="500"/>
      <c r="G2" s="500"/>
      <c r="H2" s="500"/>
      <c r="I2" s="500"/>
      <c r="J2" s="2"/>
      <c r="K2" s="2"/>
      <c r="L2" s="2"/>
      <c r="M2" s="2"/>
      <c r="N2" s="2"/>
      <c r="O2" s="2"/>
    </row>
    <row r="3" spans="1:15" ht="11.25" customHeight="1">
      <c r="A3" s="2"/>
      <c r="B3" s="2"/>
      <c r="C3" s="2"/>
      <c r="D3" s="2"/>
      <c r="E3" s="2"/>
      <c r="F3" s="500"/>
      <c r="G3" s="500"/>
      <c r="H3" s="500"/>
      <c r="I3" s="500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customHeight="1">
      <c r="A6" s="6"/>
      <c r="B6" s="501" t="s">
        <v>69</v>
      </c>
      <c r="C6" s="501"/>
      <c r="D6" s="501"/>
      <c r="E6" s="501"/>
      <c r="F6" s="501"/>
      <c r="G6" s="501"/>
      <c r="H6" s="501"/>
      <c r="I6" s="6"/>
      <c r="J6" s="502" t="s">
        <v>1</v>
      </c>
      <c r="K6" s="502"/>
      <c r="L6" s="6"/>
      <c r="M6" s="6"/>
      <c r="N6" s="6"/>
      <c r="O6" s="6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7"/>
      <c r="B9" s="8"/>
      <c r="C9" s="222"/>
      <c r="D9" s="222"/>
      <c r="E9" s="9"/>
      <c r="F9" s="8"/>
      <c r="G9" s="8"/>
      <c r="H9" s="7"/>
      <c r="I9" s="7"/>
      <c r="J9" s="7"/>
      <c r="K9" s="7"/>
      <c r="L9" s="7"/>
      <c r="M9" s="7"/>
      <c r="N9" s="7"/>
      <c r="O9" s="7"/>
    </row>
    <row r="10" spans="1:15" ht="15.75" thickBo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5.75" thickBot="1">
      <c r="A11" s="10"/>
      <c r="B11" s="10"/>
      <c r="C11" s="10"/>
      <c r="D11" s="10"/>
      <c r="E11" s="10"/>
      <c r="F11" s="12" t="s">
        <v>70</v>
      </c>
      <c r="G11" s="13" t="s">
        <v>3</v>
      </c>
      <c r="H11" s="503" t="s">
        <v>71</v>
      </c>
      <c r="I11" s="504"/>
      <c r="J11" s="504"/>
      <c r="K11" s="504"/>
      <c r="L11" s="504"/>
      <c r="M11" s="505"/>
      <c r="N11" s="10"/>
      <c r="O11" s="10"/>
    </row>
    <row r="12" spans="1:15" ht="15.75">
      <c r="A12" s="10"/>
      <c r="B12" s="483" t="s">
        <v>72</v>
      </c>
      <c r="C12" s="484"/>
      <c r="D12" s="484"/>
      <c r="E12" s="485"/>
      <c r="F12" s="11">
        <v>180</v>
      </c>
      <c r="G12" s="14" t="s">
        <v>73</v>
      </c>
      <c r="H12" s="506" t="s">
        <v>74</v>
      </c>
      <c r="I12" s="507"/>
      <c r="J12" s="507"/>
      <c r="K12" s="507"/>
      <c r="L12" s="507"/>
      <c r="M12" s="508"/>
      <c r="N12" s="10"/>
      <c r="O12" s="10"/>
    </row>
    <row r="13" spans="1:15" ht="15.75">
      <c r="A13" s="10"/>
      <c r="B13" s="483" t="s">
        <v>6</v>
      </c>
      <c r="C13" s="484"/>
      <c r="D13" s="484"/>
      <c r="E13" s="485"/>
      <c r="F13" s="15">
        <f>F14*F18*F23</f>
        <v>6.2181818181818205</v>
      </c>
      <c r="G13" s="16" t="s">
        <v>75</v>
      </c>
      <c r="H13" s="506" t="s">
        <v>76</v>
      </c>
      <c r="I13" s="507"/>
      <c r="J13" s="507"/>
      <c r="K13" s="507"/>
      <c r="L13" s="507"/>
      <c r="M13" s="508"/>
      <c r="N13" s="10"/>
      <c r="O13" s="10"/>
    </row>
    <row r="14" spans="1:15" ht="15.75">
      <c r="A14" s="10"/>
      <c r="B14" s="467" t="s">
        <v>77</v>
      </c>
      <c r="C14" s="468"/>
      <c r="D14" s="468"/>
      <c r="E14" s="469"/>
      <c r="F14" s="20">
        <f>15/3.6</f>
        <v>4.166666666666667</v>
      </c>
      <c r="G14" s="16" t="s">
        <v>9</v>
      </c>
      <c r="H14" s="506" t="s">
        <v>78</v>
      </c>
      <c r="I14" s="507"/>
      <c r="J14" s="507"/>
      <c r="K14" s="507"/>
      <c r="L14" s="507"/>
      <c r="M14" s="508"/>
      <c r="N14" s="10"/>
      <c r="O14" s="10"/>
    </row>
    <row r="15" spans="1:15" ht="24.75" customHeight="1">
      <c r="A15" s="10"/>
      <c r="B15" s="509" t="s">
        <v>16</v>
      </c>
      <c r="C15" s="510"/>
      <c r="D15" s="510"/>
      <c r="E15" s="511"/>
      <c r="F15" s="21">
        <v>0.18</v>
      </c>
      <c r="G15" s="16" t="s">
        <v>13</v>
      </c>
      <c r="H15" s="512" t="s">
        <v>79</v>
      </c>
      <c r="I15" s="513"/>
      <c r="J15" s="513"/>
      <c r="K15" s="513"/>
      <c r="L15" s="513"/>
      <c r="M15" s="514"/>
      <c r="N15" s="10"/>
      <c r="O15" s="10"/>
    </row>
    <row r="16" spans="1:15" ht="15.75">
      <c r="A16" s="10"/>
      <c r="B16" s="467" t="s">
        <v>17</v>
      </c>
      <c r="C16" s="468"/>
      <c r="D16" s="468"/>
      <c r="E16" s="469"/>
      <c r="F16" s="223">
        <f>J42</f>
        <v>0.27500000000000002</v>
      </c>
      <c r="G16" s="16" t="s">
        <v>13</v>
      </c>
      <c r="H16" s="506" t="s">
        <v>80</v>
      </c>
      <c r="I16" s="507"/>
      <c r="J16" s="507"/>
      <c r="K16" s="507"/>
      <c r="L16" s="507"/>
      <c r="M16" s="508"/>
      <c r="N16" s="10"/>
      <c r="O16" s="10"/>
    </row>
    <row r="17" spans="1:15">
      <c r="A17" s="10"/>
      <c r="B17" s="467" t="s">
        <v>81</v>
      </c>
      <c r="C17" s="468"/>
      <c r="D17" s="468"/>
      <c r="E17" s="469"/>
      <c r="F17" s="224">
        <v>0.01</v>
      </c>
      <c r="G17" s="16" t="s">
        <v>82</v>
      </c>
      <c r="H17" s="506" t="s">
        <v>83</v>
      </c>
      <c r="I17" s="507"/>
      <c r="J17" s="507"/>
      <c r="K17" s="507"/>
      <c r="L17" s="507"/>
      <c r="M17" s="508"/>
      <c r="N17" s="10"/>
      <c r="O17" s="10"/>
    </row>
    <row r="18" spans="1:15">
      <c r="A18" s="10"/>
      <c r="B18" s="467" t="s">
        <v>18</v>
      </c>
      <c r="C18" s="468"/>
      <c r="D18" s="468"/>
      <c r="E18" s="469"/>
      <c r="F18" s="23">
        <f>1-(F15/F16)</f>
        <v>0.34545454545454557</v>
      </c>
      <c r="G18" s="16" t="s">
        <v>13</v>
      </c>
      <c r="H18" s="506" t="s">
        <v>76</v>
      </c>
      <c r="I18" s="507"/>
      <c r="J18" s="507"/>
      <c r="K18" s="507"/>
      <c r="L18" s="507"/>
      <c r="M18" s="508"/>
      <c r="N18" s="10"/>
      <c r="O18" s="10"/>
    </row>
    <row r="19" spans="1:15">
      <c r="A19" s="10"/>
      <c r="B19" s="467" t="s">
        <v>84</v>
      </c>
      <c r="C19" s="468"/>
      <c r="D19" s="468"/>
      <c r="E19" s="469"/>
      <c r="F19" s="25">
        <v>6</v>
      </c>
      <c r="G19" s="16" t="s">
        <v>24</v>
      </c>
      <c r="H19" s="506" t="s">
        <v>85</v>
      </c>
      <c r="I19" s="507"/>
      <c r="J19" s="507"/>
      <c r="K19" s="507"/>
      <c r="L19" s="507"/>
      <c r="M19" s="508"/>
      <c r="N19" s="10"/>
      <c r="O19" s="10"/>
    </row>
    <row r="20" spans="1:15">
      <c r="A20" s="10"/>
      <c r="B20" s="477" t="s">
        <v>86</v>
      </c>
      <c r="C20" s="515"/>
      <c r="D20" s="515"/>
      <c r="E20" s="515"/>
      <c r="F20" s="225"/>
      <c r="G20" s="225"/>
      <c r="H20" s="506"/>
      <c r="I20" s="507"/>
      <c r="J20" s="507"/>
      <c r="K20" s="507"/>
      <c r="L20" s="507"/>
      <c r="M20" s="508"/>
      <c r="N20" s="10"/>
      <c r="O20" s="10"/>
    </row>
    <row r="21" spans="1:15">
      <c r="A21" s="10"/>
      <c r="B21" s="467" t="s">
        <v>25</v>
      </c>
      <c r="C21" s="468"/>
      <c r="D21" s="468"/>
      <c r="E21" s="469"/>
      <c r="F21" s="25">
        <f>180</f>
        <v>180</v>
      </c>
      <c r="G21" s="16" t="s">
        <v>87</v>
      </c>
      <c r="H21" s="506" t="s">
        <v>88</v>
      </c>
      <c r="I21" s="507"/>
      <c r="J21" s="507"/>
      <c r="K21" s="507"/>
      <c r="L21" s="507"/>
      <c r="M21" s="508"/>
      <c r="N21" s="10"/>
      <c r="O21" s="10"/>
    </row>
    <row r="22" spans="1:15">
      <c r="A22" s="10"/>
      <c r="B22" s="516" t="s">
        <v>89</v>
      </c>
      <c r="C22" s="517"/>
      <c r="D22" s="517"/>
      <c r="E22" s="518"/>
      <c r="F22" s="226">
        <v>4</v>
      </c>
      <c r="G22" s="16" t="s">
        <v>90</v>
      </c>
      <c r="H22" s="506" t="s">
        <v>91</v>
      </c>
      <c r="I22" s="507"/>
      <c r="J22" s="507"/>
      <c r="K22" s="507"/>
      <c r="L22" s="507"/>
      <c r="M22" s="508"/>
      <c r="N22" s="10"/>
      <c r="O22" s="10"/>
    </row>
    <row r="23" spans="1:15">
      <c r="A23" s="10"/>
      <c r="B23" s="516" t="s">
        <v>92</v>
      </c>
      <c r="C23" s="517"/>
      <c r="D23" s="517"/>
      <c r="E23" s="518"/>
      <c r="F23" s="227">
        <f>F21*F22*F19/1000</f>
        <v>4.32</v>
      </c>
      <c r="G23" s="26" t="s">
        <v>32</v>
      </c>
      <c r="H23" s="519" t="s">
        <v>76</v>
      </c>
      <c r="I23" s="520"/>
      <c r="J23" s="520"/>
      <c r="K23" s="520"/>
      <c r="L23" s="520"/>
      <c r="M23" s="521"/>
      <c r="N23" s="10"/>
      <c r="O23" s="10"/>
    </row>
    <row r="24" spans="1:15">
      <c r="A24" s="10"/>
      <c r="B24" s="477" t="s">
        <v>93</v>
      </c>
      <c r="C24" s="478"/>
      <c r="D24" s="478"/>
      <c r="E24" s="478"/>
      <c r="F24" s="225"/>
      <c r="G24" s="225"/>
      <c r="H24" s="506"/>
      <c r="I24" s="507"/>
      <c r="J24" s="507"/>
      <c r="K24" s="507"/>
      <c r="L24" s="507"/>
      <c r="M24" s="508"/>
      <c r="N24" s="10"/>
      <c r="O24" s="10"/>
    </row>
    <row r="25" spans="1:15">
      <c r="A25" s="10"/>
      <c r="B25" s="467" t="s">
        <v>94</v>
      </c>
      <c r="C25" s="468"/>
      <c r="D25" s="468"/>
      <c r="E25" s="469"/>
      <c r="F25" s="228">
        <v>1</v>
      </c>
      <c r="G25" s="26"/>
      <c r="H25" s="506" t="s">
        <v>80</v>
      </c>
      <c r="I25" s="507"/>
      <c r="J25" s="507"/>
      <c r="K25" s="507"/>
      <c r="L25" s="507"/>
      <c r="M25" s="508"/>
      <c r="N25" s="10"/>
      <c r="O25" s="10"/>
    </row>
    <row r="26" spans="1:15">
      <c r="A26" s="10"/>
      <c r="B26" s="467" t="s">
        <v>95</v>
      </c>
      <c r="C26" s="468"/>
      <c r="D26" s="468"/>
      <c r="E26" s="469"/>
      <c r="F26" s="64">
        <f>F23/F25</f>
        <v>4.32</v>
      </c>
      <c r="G26" s="26" t="s">
        <v>32</v>
      </c>
      <c r="H26" s="506" t="s">
        <v>76</v>
      </c>
      <c r="I26" s="507"/>
      <c r="J26" s="507"/>
      <c r="K26" s="507"/>
      <c r="L26" s="507"/>
      <c r="M26" s="508"/>
      <c r="N26" s="10"/>
      <c r="O26" s="10"/>
    </row>
    <row r="27" spans="1:15">
      <c r="A27" s="10"/>
      <c r="B27" s="467" t="s">
        <v>37</v>
      </c>
      <c r="C27" s="468"/>
      <c r="D27" s="468"/>
      <c r="E27" s="469"/>
      <c r="F27" s="229">
        <v>0.94479999999999997</v>
      </c>
      <c r="G27" s="27" t="s">
        <v>13</v>
      </c>
      <c r="H27" s="506" t="s">
        <v>80</v>
      </c>
      <c r="I27" s="507"/>
      <c r="J27" s="507"/>
      <c r="K27" s="507"/>
      <c r="L27" s="507"/>
      <c r="M27" s="508"/>
      <c r="N27" s="10"/>
      <c r="O27" s="10"/>
    </row>
    <row r="28" spans="1:15" ht="20.25">
      <c r="A28" s="10"/>
      <c r="B28" s="522" t="s">
        <v>96</v>
      </c>
      <c r="C28" s="468"/>
      <c r="D28" s="468"/>
      <c r="E28" s="469"/>
      <c r="F28" s="230">
        <f>0.878</f>
        <v>0.878</v>
      </c>
      <c r="G28" s="28" t="s">
        <v>13</v>
      </c>
      <c r="H28" s="523" t="s">
        <v>80</v>
      </c>
      <c r="I28" s="524"/>
      <c r="J28" s="524"/>
      <c r="K28" s="524"/>
      <c r="L28" s="524"/>
      <c r="M28" s="525"/>
      <c r="N28" s="10"/>
      <c r="O28" s="10"/>
    </row>
    <row r="29" spans="1:15">
      <c r="A29" s="10"/>
      <c r="B29" s="31" t="s">
        <v>42</v>
      </c>
      <c r="C29" s="31"/>
      <c r="D29" s="31"/>
      <c r="E29" s="10"/>
      <c r="F29" s="10"/>
      <c r="G29" s="10"/>
      <c r="H29" s="17"/>
      <c r="I29" s="18"/>
      <c r="J29" s="18"/>
      <c r="K29" s="18"/>
      <c r="L29" s="19"/>
      <c r="M29" s="18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7"/>
      <c r="I30" s="18"/>
      <c r="J30" s="18"/>
      <c r="K30" s="18"/>
      <c r="L30" s="19"/>
      <c r="M30" s="18"/>
      <c r="N30" s="10"/>
      <c r="O30" s="10"/>
    </row>
    <row r="31" spans="1:15">
      <c r="A31" s="3"/>
      <c r="B31" s="3"/>
      <c r="C31" s="49"/>
      <c r="D31" s="49"/>
      <c r="E31" s="206"/>
      <c r="F31" s="20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7"/>
      <c r="B32" s="526" t="s">
        <v>97</v>
      </c>
      <c r="C32" s="526"/>
      <c r="D32" s="526"/>
      <c r="E32" s="526"/>
      <c r="F32" s="526"/>
      <c r="G32" s="526"/>
      <c r="H32" s="7"/>
      <c r="I32" s="7"/>
      <c r="J32" s="7"/>
      <c r="K32" s="7"/>
      <c r="L32" s="7"/>
      <c r="M32" s="7"/>
      <c r="N32" s="7"/>
      <c r="O32" s="7"/>
    </row>
    <row r="33" spans="1:17">
      <c r="A33" s="10"/>
      <c r="B33" s="10"/>
      <c r="C33" s="10"/>
      <c r="D33" s="10"/>
      <c r="E33" s="10"/>
      <c r="F33" s="32"/>
      <c r="G33" s="10"/>
      <c r="H33" s="10"/>
      <c r="I33" s="10"/>
      <c r="J33" s="10"/>
      <c r="K33" s="10"/>
      <c r="L33" s="10"/>
      <c r="M33" s="10"/>
      <c r="N33" s="10"/>
      <c r="O33" s="10"/>
    </row>
    <row r="34" spans="1:17" ht="15.75" thickBot="1">
      <c r="A34" s="10"/>
      <c r="B34" s="32"/>
      <c r="C34" s="33"/>
      <c r="D34" s="33"/>
      <c r="E34" s="10"/>
      <c r="F34" s="10"/>
      <c r="G34" s="10"/>
      <c r="H34" s="18" t="s">
        <v>98</v>
      </c>
      <c r="I34" s="34" t="s">
        <v>99</v>
      </c>
      <c r="J34" s="10"/>
      <c r="K34" s="10"/>
      <c r="L34" s="10"/>
      <c r="M34" s="10"/>
      <c r="N34" s="10"/>
      <c r="O34" s="3"/>
    </row>
    <row r="35" spans="1:17">
      <c r="B35" s="35"/>
      <c r="C35" s="36" t="s">
        <v>100</v>
      </c>
      <c r="D35" s="37" t="s">
        <v>101</v>
      </c>
      <c r="E35" s="37" t="s">
        <v>102</v>
      </c>
      <c r="F35" s="37" t="s">
        <v>103</v>
      </c>
      <c r="G35" s="38" t="s">
        <v>104</v>
      </c>
      <c r="H35" s="38" t="s">
        <v>104</v>
      </c>
      <c r="I35" s="37" t="s">
        <v>105</v>
      </c>
      <c r="J35" s="37" t="s">
        <v>106</v>
      </c>
      <c r="K35" s="38" t="s">
        <v>107</v>
      </c>
      <c r="L35" s="38" t="s">
        <v>108</v>
      </c>
      <c r="M35" s="38" t="s">
        <v>109</v>
      </c>
      <c r="N35" s="39" t="s">
        <v>110</v>
      </c>
      <c r="O35" s="38" t="s">
        <v>111</v>
      </c>
      <c r="P35" s="111" t="s">
        <v>112</v>
      </c>
      <c r="Q35" s="111" t="s">
        <v>113</v>
      </c>
    </row>
    <row r="36" spans="1:17">
      <c r="B36" s="40"/>
      <c r="C36" s="41" t="s">
        <v>114</v>
      </c>
      <c r="D36" s="42" t="s">
        <v>13</v>
      </c>
      <c r="E36" s="42" t="s">
        <v>11</v>
      </c>
      <c r="F36" s="43" t="s">
        <v>15</v>
      </c>
      <c r="G36" s="44" t="s">
        <v>36</v>
      </c>
      <c r="H36" s="44" t="s">
        <v>36</v>
      </c>
      <c r="I36" s="42" t="s">
        <v>13</v>
      </c>
      <c r="J36" s="42" t="s">
        <v>13</v>
      </c>
      <c r="K36" s="45" t="s">
        <v>36</v>
      </c>
      <c r="L36" s="45" t="s">
        <v>34</v>
      </c>
      <c r="M36" s="45" t="s">
        <v>64</v>
      </c>
      <c r="N36" s="46" t="s">
        <v>13</v>
      </c>
      <c r="O36" s="45"/>
      <c r="P36" s="45" t="s">
        <v>64</v>
      </c>
      <c r="Q36" s="45" t="s">
        <v>32</v>
      </c>
    </row>
    <row r="37" spans="1:17">
      <c r="B37" s="47" t="s">
        <v>115</v>
      </c>
      <c r="C37" s="112">
        <v>1.6056048083792966</v>
      </c>
      <c r="D37" s="113">
        <v>0.98841576864680269</v>
      </c>
      <c r="E37" s="114">
        <v>1.4999999999999999E-2</v>
      </c>
      <c r="F37" s="115">
        <v>81.599999999999994</v>
      </c>
      <c r="G37" s="48">
        <v>1.5998644067796608</v>
      </c>
      <c r="H37" s="48">
        <v>1.6840677966101694</v>
      </c>
      <c r="I37" s="116">
        <v>0.18</v>
      </c>
      <c r="J37" s="117">
        <v>0.29499999999999998</v>
      </c>
      <c r="K37" s="118">
        <v>4.32</v>
      </c>
      <c r="L37" s="118">
        <v>0.95</v>
      </c>
      <c r="M37" s="118">
        <v>0.94479999999999997</v>
      </c>
      <c r="N37" s="119">
        <v>0.878</v>
      </c>
      <c r="O37" s="113">
        <v>0.94479999999999997</v>
      </c>
      <c r="P37" s="120">
        <v>1</v>
      </c>
      <c r="Q37" s="118">
        <v>4.32</v>
      </c>
    </row>
    <row r="38" spans="1:17">
      <c r="B38" s="47" t="s">
        <v>116</v>
      </c>
      <c r="C38" s="112">
        <v>1.5174251392692206</v>
      </c>
      <c r="D38" s="113">
        <v>0.98841576864680269</v>
      </c>
      <c r="E38" s="114">
        <v>1.4999999999999999E-2</v>
      </c>
      <c r="F38" s="115">
        <v>81.599999999999994</v>
      </c>
      <c r="G38" s="48">
        <v>1.5119999999999996</v>
      </c>
      <c r="H38" s="48">
        <v>1.5915789473684208</v>
      </c>
      <c r="I38" s="116">
        <v>0.18</v>
      </c>
      <c r="J38" s="117">
        <v>0.28499999999999998</v>
      </c>
      <c r="K38" s="118">
        <v>4.32</v>
      </c>
      <c r="L38" s="118">
        <v>0.95</v>
      </c>
      <c r="M38" s="118">
        <v>0.94479999999999997</v>
      </c>
      <c r="N38" s="119">
        <v>0.878</v>
      </c>
      <c r="O38" s="121">
        <v>0.94479999999999997</v>
      </c>
      <c r="P38" s="120">
        <v>1</v>
      </c>
      <c r="Q38" s="118">
        <v>4.32</v>
      </c>
    </row>
    <row r="39" spans="1:17">
      <c r="B39" s="47" t="s">
        <v>117</v>
      </c>
      <c r="C39" s="112">
        <v>1.4228324033147766</v>
      </c>
      <c r="D39" s="113">
        <v>0.98841576864680269</v>
      </c>
      <c r="E39" s="122">
        <v>1.4999999999999999E-2</v>
      </c>
      <c r="F39" s="123">
        <v>81.599999999999994</v>
      </c>
      <c r="G39" s="48">
        <v>1.4177454545454551</v>
      </c>
      <c r="H39" s="48">
        <v>1.492363636363637</v>
      </c>
      <c r="I39" s="124">
        <v>0.18</v>
      </c>
      <c r="J39" s="125">
        <v>0.27500000000000002</v>
      </c>
      <c r="K39" s="118">
        <v>4.32</v>
      </c>
      <c r="L39" s="126">
        <v>0.95</v>
      </c>
      <c r="M39" s="118">
        <v>0.94479999999999997</v>
      </c>
      <c r="N39" s="119">
        <v>0.878</v>
      </c>
      <c r="O39" s="127">
        <v>0.94479999999999997</v>
      </c>
      <c r="P39" s="120">
        <v>1</v>
      </c>
      <c r="Q39" s="118">
        <v>4.32</v>
      </c>
    </row>
    <row r="40" spans="1:17">
      <c r="B40" s="47" t="s">
        <v>118</v>
      </c>
      <c r="C40" s="112">
        <v>0.90888588634275913</v>
      </c>
      <c r="D40" s="113">
        <v>0.98841576864680269</v>
      </c>
      <c r="E40" s="128">
        <v>1.4999999999999999E-2</v>
      </c>
      <c r="F40" s="129">
        <v>81.599999999999994</v>
      </c>
      <c r="G40" s="48">
        <v>1.3163773584905663</v>
      </c>
      <c r="H40" s="48">
        <v>1.3856603773584908</v>
      </c>
      <c r="I40" s="130">
        <v>0.18</v>
      </c>
      <c r="J40" s="131">
        <v>0.26500000000000001</v>
      </c>
      <c r="K40" s="118">
        <v>4.32</v>
      </c>
      <c r="L40" s="132">
        <v>0.95</v>
      </c>
      <c r="M40" s="118">
        <v>0.65</v>
      </c>
      <c r="N40" s="119">
        <v>0.878</v>
      </c>
      <c r="O40" s="133">
        <v>0.65</v>
      </c>
      <c r="P40" s="120">
        <v>1</v>
      </c>
      <c r="Q40" s="118">
        <v>4.32</v>
      </c>
    </row>
    <row r="41" spans="1:17" ht="15.75" thickBot="1">
      <c r="B41" s="47" t="s">
        <v>119</v>
      </c>
      <c r="C41" s="112">
        <v>0.57697440482498819</v>
      </c>
      <c r="D41" s="134">
        <v>0.98841576864680269</v>
      </c>
      <c r="E41" s="135">
        <v>1.4999999999999999E-2</v>
      </c>
      <c r="F41" s="136">
        <v>81.599999999999994</v>
      </c>
      <c r="G41" s="48">
        <v>1.207058823529412</v>
      </c>
      <c r="H41" s="48">
        <v>1.270588235294118</v>
      </c>
      <c r="I41" s="137">
        <v>0.18</v>
      </c>
      <c r="J41" s="138">
        <v>0.255</v>
      </c>
      <c r="K41" s="139">
        <v>4.32</v>
      </c>
      <c r="L41" s="139">
        <v>0.95</v>
      </c>
      <c r="M41" s="139">
        <v>0.45</v>
      </c>
      <c r="N41" s="134">
        <v>0.878</v>
      </c>
      <c r="O41" s="140">
        <v>0.45</v>
      </c>
      <c r="P41" s="141">
        <v>1</v>
      </c>
      <c r="Q41" s="139">
        <v>4.32</v>
      </c>
    </row>
    <row r="42" spans="1:17" ht="15.75" thickTop="1">
      <c r="B42" s="207" t="s">
        <v>120</v>
      </c>
      <c r="C42" s="208">
        <f>AVERAGE(C37:C41)</f>
        <v>1.2063445284262082</v>
      </c>
      <c r="D42" s="155"/>
      <c r="E42" s="156"/>
      <c r="F42" s="157"/>
      <c r="G42" s="209">
        <f>AVERAGE(G37:G41)</f>
        <v>1.4106092086690185</v>
      </c>
      <c r="H42" s="209">
        <f>AVERAGE(H37:H41)</f>
        <v>1.4848517985989673</v>
      </c>
      <c r="I42" s="3"/>
      <c r="J42" s="210">
        <f>AVERAGE(J37:J41)</f>
        <v>0.27500000000000002</v>
      </c>
      <c r="K42" s="3"/>
      <c r="L42" s="3"/>
      <c r="M42" s="211">
        <f>AVERAGE(M37:M41)</f>
        <v>0.78688000000000002</v>
      </c>
      <c r="N42" s="3"/>
      <c r="O42" s="210">
        <f>AVERAGE(O37:O41)</f>
        <v>0.78688000000000002</v>
      </c>
      <c r="P42" s="3"/>
      <c r="Q42" s="212"/>
    </row>
    <row r="43" spans="1:17">
      <c r="B43" s="213"/>
      <c r="C43" s="214"/>
      <c r="D43" s="162"/>
      <c r="E43" s="215"/>
      <c r="F43" s="216"/>
      <c r="G43" s="217"/>
      <c r="H43" s="217"/>
      <c r="I43" s="218"/>
      <c r="J43" s="219"/>
      <c r="K43" s="220"/>
      <c r="L43" s="220"/>
      <c r="M43" s="220"/>
      <c r="N43" s="162"/>
      <c r="O43" s="221"/>
      <c r="P43" s="221"/>
      <c r="Q43" s="221"/>
    </row>
    <row r="44" spans="1:17">
      <c r="B44" s="153" t="s">
        <v>121</v>
      </c>
      <c r="C44" s="154">
        <v>1.0347967591737239</v>
      </c>
      <c r="D44" s="155">
        <v>0.98839999999999995</v>
      </c>
      <c r="E44" s="156">
        <v>1.4999999999999999E-2</v>
      </c>
      <c r="F44" s="157">
        <v>81.599999999999994</v>
      </c>
      <c r="G44" s="158">
        <v>1.0145924010840783</v>
      </c>
      <c r="H44" s="158"/>
      <c r="I44" s="159">
        <v>0.18</v>
      </c>
      <c r="J44" s="160">
        <v>0.24058676832334522</v>
      </c>
      <c r="K44" s="161">
        <v>4.2409382652403744</v>
      </c>
      <c r="L44" s="161">
        <v>0.95</v>
      </c>
      <c r="M44" s="161">
        <v>0.98148148148148151</v>
      </c>
      <c r="N44" s="155">
        <v>0.85894862794162252</v>
      </c>
      <c r="O44" s="162">
        <v>0.98148148148148151</v>
      </c>
      <c r="P44" s="161">
        <v>1.0186425101746075</v>
      </c>
      <c r="Q44" s="118">
        <v>4.32</v>
      </c>
    </row>
    <row r="45" spans="1:17">
      <c r="B45" s="153" t="s">
        <v>122</v>
      </c>
      <c r="C45" s="112" t="e">
        <f>'VCU calculation'!#REF!</f>
        <v>#REF!</v>
      </c>
      <c r="D45" s="175" t="e">
        <f>'VCU calculation'!#REF!</f>
        <v>#REF!</v>
      </c>
      <c r="E45" s="114" t="e">
        <f>'VCU calculation'!#REF!</f>
        <v>#REF!</v>
      </c>
      <c r="F45" s="123" t="e">
        <f>'VCU calculation'!#REF!</f>
        <v>#REF!</v>
      </c>
      <c r="G45" s="158" t="e">
        <f>'VCU calculation'!#REF!</f>
        <v>#REF!</v>
      </c>
      <c r="H45" s="158"/>
      <c r="I45" s="159" t="e">
        <f>'VCU calculation'!#REF!</f>
        <v>#REF!</v>
      </c>
      <c r="J45" s="173" t="e">
        <f>'VCU calculation'!#REF!</f>
        <v>#REF!</v>
      </c>
      <c r="K45" s="170" t="e">
        <f>'VCU calculation'!#REF!</f>
        <v>#REF!</v>
      </c>
      <c r="L45" s="167" t="e">
        <f>'VCU calculation'!#REF!</f>
        <v>#REF!</v>
      </c>
      <c r="M45" s="171" t="e">
        <f>'VCU calculation'!#REF!</f>
        <v>#REF!</v>
      </c>
      <c r="N45" s="165" t="e">
        <f>'VCU calculation'!#REF!</f>
        <v>#REF!</v>
      </c>
      <c r="O45" s="164" t="e">
        <f>'VCU calculation'!#REF!</f>
        <v>#REF!</v>
      </c>
      <c r="P45" s="170" t="e">
        <f>'VCU calculation'!#REF!</f>
        <v>#REF!</v>
      </c>
      <c r="Q45" s="167" t="e">
        <f>'VCU calculation'!#REF!</f>
        <v>#REF!</v>
      </c>
    </row>
    <row r="46" spans="1:17">
      <c r="B46" s="153" t="s">
        <v>123</v>
      </c>
      <c r="C46" s="112" t="e">
        <f>'VCU calculation'!#REF!</f>
        <v>#REF!</v>
      </c>
      <c r="D46" s="175" t="e">
        <f>'VCU calculation'!#REF!</f>
        <v>#REF!</v>
      </c>
      <c r="E46" s="122" t="e">
        <f>'VCU calculation'!#REF!</f>
        <v>#REF!</v>
      </c>
      <c r="F46" s="129" t="e">
        <f>'VCU calculation'!#REF!</f>
        <v>#REF!</v>
      </c>
      <c r="G46" s="158" t="e">
        <f>'VCU calculation'!#REF!</f>
        <v>#REF!</v>
      </c>
      <c r="H46" s="158"/>
      <c r="I46" s="159" t="e">
        <f>'VCU calculation'!#REF!</f>
        <v>#REF!</v>
      </c>
      <c r="J46" s="174" t="e">
        <f>'VCU calculation'!#REF!</f>
        <v>#REF!</v>
      </c>
      <c r="K46" s="169" t="e">
        <f>'VCU calculation'!#REF!</f>
        <v>#REF!</v>
      </c>
      <c r="L46" s="168" t="e">
        <f>'VCU calculation'!#REF!</f>
        <v>#REF!</v>
      </c>
      <c r="M46" s="172" t="e">
        <f>'VCU calculation'!#REF!</f>
        <v>#REF!</v>
      </c>
      <c r="N46" s="166" t="e">
        <f>'VCU calculation'!#REF!</f>
        <v>#REF!</v>
      </c>
      <c r="O46" s="164" t="e">
        <f>'VCU calculation'!#REF!</f>
        <v>#REF!</v>
      </c>
      <c r="P46" s="169" t="e">
        <f>'VCU calculation'!#REF!</f>
        <v>#REF!</v>
      </c>
      <c r="Q46" s="167" t="e">
        <f>'VCU calculation'!#REF!</f>
        <v>#REF!</v>
      </c>
    </row>
    <row r="47" spans="1:17">
      <c r="B47" s="153"/>
      <c r="C47" s="154"/>
      <c r="D47" s="155"/>
      <c r="E47" s="156"/>
      <c r="F47" s="157"/>
      <c r="G47" s="158"/>
      <c r="H47" s="158"/>
      <c r="I47" s="159"/>
      <c r="J47" s="117"/>
      <c r="K47" s="118"/>
      <c r="L47" s="118"/>
      <c r="M47" s="118"/>
      <c r="N47" s="155"/>
      <c r="O47" s="162"/>
      <c r="P47" s="163"/>
    </row>
    <row r="49" spans="1:18" ht="26.25" thickBot="1">
      <c r="B49" s="3"/>
      <c r="C49" s="107" t="s">
        <v>124</v>
      </c>
      <c r="D49" s="107" t="s">
        <v>125</v>
      </c>
      <c r="E49" s="107">
        <v>2019</v>
      </c>
      <c r="F49" s="108">
        <v>2020</v>
      </c>
      <c r="G49" s="108">
        <v>2021</v>
      </c>
      <c r="H49" s="108">
        <v>2022</v>
      </c>
      <c r="I49" s="108">
        <v>2023</v>
      </c>
      <c r="J49" s="108">
        <v>2024</v>
      </c>
      <c r="K49" s="494" t="s">
        <v>126</v>
      </c>
      <c r="L49" s="3"/>
      <c r="M49" s="3"/>
      <c r="N49" s="3"/>
      <c r="O49" s="181"/>
      <c r="P49" s="3"/>
      <c r="Q49" s="3"/>
      <c r="R49" s="3"/>
    </row>
    <row r="50" spans="1:18">
      <c r="B50" s="3" t="s">
        <v>127</v>
      </c>
      <c r="C50" s="109"/>
      <c r="D50" s="109"/>
      <c r="E50" s="109">
        <f>8000-D51+12000*10.5/12+18000*7.5/12+24000*4.5/12+36000*1.5/12</f>
        <v>40750</v>
      </c>
      <c r="F50" s="109">
        <f>F51/2</f>
        <v>121500</v>
      </c>
      <c r="G50" s="109">
        <f>G51/2</f>
        <v>60750</v>
      </c>
      <c r="H50" s="109"/>
      <c r="I50" s="109"/>
      <c r="J50" s="109"/>
      <c r="K50" s="495"/>
      <c r="L50" s="182" t="s">
        <v>128</v>
      </c>
      <c r="M50" s="183" t="s">
        <v>129</v>
      </c>
      <c r="N50" s="184" t="s">
        <v>68</v>
      </c>
      <c r="O50" s="496" t="s">
        <v>130</v>
      </c>
      <c r="P50" s="497"/>
      <c r="Q50" s="3"/>
      <c r="R50" s="3"/>
    </row>
    <row r="51" spans="1:18" ht="15.75" thickBot="1">
      <c r="B51" s="3" t="s">
        <v>131</v>
      </c>
      <c r="C51" s="110">
        <v>13000</v>
      </c>
      <c r="D51" s="110">
        <v>2500</v>
      </c>
      <c r="E51" s="110">
        <f>8000-D51+12000+18000+24000+36000</f>
        <v>95500</v>
      </c>
      <c r="F51" s="110">
        <f>40500*6</f>
        <v>243000</v>
      </c>
      <c r="G51" s="110">
        <f>3*40500</f>
        <v>121500</v>
      </c>
      <c r="H51" s="110"/>
      <c r="I51" s="110"/>
      <c r="J51" s="110"/>
      <c r="K51" s="385"/>
      <c r="L51" s="185" t="s">
        <v>132</v>
      </c>
      <c r="M51" s="186" t="s">
        <v>132</v>
      </c>
      <c r="N51" s="187" t="s">
        <v>132</v>
      </c>
      <c r="O51" s="386" t="s">
        <v>133</v>
      </c>
      <c r="P51" s="386" t="s">
        <v>134</v>
      </c>
      <c r="Q51" s="3"/>
      <c r="R51" s="3"/>
    </row>
    <row r="52" spans="1:18">
      <c r="B52" s="176" t="s">
        <v>135</v>
      </c>
      <c r="C52" s="177">
        <v>12977</v>
      </c>
      <c r="D52" s="177">
        <v>8016</v>
      </c>
      <c r="E52" s="177">
        <v>38128</v>
      </c>
      <c r="F52" s="178"/>
      <c r="G52" s="178"/>
      <c r="K52" s="385"/>
      <c r="L52" s="185"/>
      <c r="M52" s="186"/>
      <c r="N52" s="386"/>
      <c r="O52" s="386"/>
      <c r="P52" s="386"/>
      <c r="Q52" s="3"/>
      <c r="R52" s="3"/>
    </row>
    <row r="53" spans="1:18">
      <c r="B53" s="176" t="s">
        <v>136</v>
      </c>
      <c r="C53" s="177">
        <v>0</v>
      </c>
      <c r="D53" s="177">
        <v>0</v>
      </c>
      <c r="E53" s="177">
        <v>51624</v>
      </c>
      <c r="F53" s="178"/>
      <c r="G53" s="178"/>
      <c r="K53" s="385"/>
      <c r="L53" s="185"/>
      <c r="M53" s="186"/>
      <c r="N53" s="386"/>
      <c r="O53" s="386"/>
      <c r="P53" s="386"/>
      <c r="Q53" s="3"/>
      <c r="R53" s="3"/>
    </row>
    <row r="54" spans="1:18">
      <c r="B54" s="176" t="s">
        <v>137</v>
      </c>
      <c r="C54" s="179">
        <f>C52+C53</f>
        <v>12977</v>
      </c>
      <c r="D54" s="179">
        <f>D52+D53</f>
        <v>8016</v>
      </c>
      <c r="E54" s="179">
        <f>E52+E53</f>
        <v>89752</v>
      </c>
      <c r="F54" s="179">
        <f>F52+F53</f>
        <v>0</v>
      </c>
      <c r="G54" s="180"/>
      <c r="K54" s="385"/>
      <c r="L54" s="185"/>
      <c r="M54" s="186"/>
      <c r="N54" s="386"/>
      <c r="O54" s="386"/>
      <c r="P54" s="386"/>
      <c r="Q54" s="3"/>
      <c r="R54" s="3"/>
    </row>
    <row r="55" spans="1:18" ht="15.75" thickBot="1">
      <c r="A55" s="142" t="s">
        <v>138</v>
      </c>
      <c r="B55" s="143" t="s">
        <v>139</v>
      </c>
      <c r="C55" s="144">
        <v>563</v>
      </c>
      <c r="D55" s="145">
        <v>90</v>
      </c>
      <c r="E55" s="146">
        <v>0</v>
      </c>
      <c r="F55" s="146">
        <v>0</v>
      </c>
      <c r="G55" s="147"/>
      <c r="H55" s="147"/>
      <c r="I55" s="147"/>
      <c r="J55" s="147"/>
      <c r="K55" s="385"/>
      <c r="L55" s="185"/>
      <c r="M55" s="186"/>
      <c r="N55" s="386"/>
      <c r="O55" s="386"/>
      <c r="P55" s="386"/>
      <c r="Q55" s="3"/>
      <c r="R55" s="3"/>
    </row>
    <row r="56" spans="1:18" ht="15.75" thickBot="1">
      <c r="A56" s="142" t="s">
        <v>140</v>
      </c>
      <c r="B56" s="143" t="s">
        <v>141</v>
      </c>
      <c r="C56" s="148">
        <v>21787.837303842902</v>
      </c>
      <c r="D56" s="148">
        <v>4189.9687122774794</v>
      </c>
      <c r="E56" s="148">
        <v>68296.490010122914</v>
      </c>
      <c r="F56" s="148">
        <v>0</v>
      </c>
      <c r="G56" s="148">
        <v>0</v>
      </c>
      <c r="H56" s="149">
        <v>0</v>
      </c>
      <c r="I56" s="149">
        <v>0</v>
      </c>
      <c r="J56" s="149">
        <v>0</v>
      </c>
      <c r="K56" s="188">
        <f>C51+D51</f>
        <v>15500</v>
      </c>
      <c r="L56" s="189">
        <f>C56</f>
        <v>21787.837303842902</v>
      </c>
      <c r="M56" s="190">
        <f>SUM(D56:J56)</f>
        <v>72486.458722400392</v>
      </c>
      <c r="N56" s="191">
        <f>SUM(C56:J56)</f>
        <v>94274.296026243304</v>
      </c>
      <c r="O56" s="192">
        <v>43921</v>
      </c>
      <c r="P56" s="192">
        <v>44135</v>
      </c>
      <c r="Q56" s="3"/>
      <c r="R56" s="193" t="s">
        <v>142</v>
      </c>
    </row>
    <row r="57" spans="1:18" ht="15.75" thickTop="1">
      <c r="A57" s="142" t="s">
        <v>143</v>
      </c>
      <c r="B57" s="143" t="s">
        <v>144</v>
      </c>
      <c r="C57" s="148">
        <v>9863.2634052499343</v>
      </c>
      <c r="D57" s="148">
        <v>1896.7814240865257</v>
      </c>
      <c r="E57" s="148">
        <v>72457.05040010529</v>
      </c>
      <c r="F57" s="148">
        <v>48770.246054521136</v>
      </c>
      <c r="G57" s="148">
        <v>0</v>
      </c>
      <c r="H57" s="149">
        <v>0</v>
      </c>
      <c r="I57" s="149">
        <v>0</v>
      </c>
      <c r="J57" s="149">
        <v>0</v>
      </c>
      <c r="K57" s="188">
        <f>E51+K56</f>
        <v>111000</v>
      </c>
      <c r="L57" s="189">
        <f t="shared" ref="L57:L68" si="0">C57</f>
        <v>9863.2634052499343</v>
      </c>
      <c r="M57" s="190">
        <f t="shared" ref="M57:M68" si="1">SUM(D57:J57)</f>
        <v>123124.07787871295</v>
      </c>
      <c r="N57" s="191">
        <f>SUM(C57:J57)</f>
        <v>132987.34128396289</v>
      </c>
      <c r="O57" s="192">
        <v>44104</v>
      </c>
      <c r="P57" s="192">
        <v>44255</v>
      </c>
      <c r="Q57" s="194"/>
      <c r="R57" s="498">
        <v>140</v>
      </c>
    </row>
    <row r="58" spans="1:18" ht="15.75" thickBot="1">
      <c r="A58" s="150" t="s">
        <v>145</v>
      </c>
      <c r="B58" s="143" t="s">
        <v>146</v>
      </c>
      <c r="C58" s="148">
        <v>9863.2634052499343</v>
      </c>
      <c r="D58" s="148">
        <v>1896.7814240865257</v>
      </c>
      <c r="E58" s="148">
        <v>72457.05040010529</v>
      </c>
      <c r="F58" s="148">
        <v>97540.492109042272</v>
      </c>
      <c r="G58" s="148">
        <v>0</v>
      </c>
      <c r="H58" s="149">
        <v>0</v>
      </c>
      <c r="I58" s="149">
        <v>0</v>
      </c>
      <c r="J58" s="149">
        <v>0</v>
      </c>
      <c r="K58" s="188">
        <f>K57+F51</f>
        <v>354000</v>
      </c>
      <c r="L58" s="189">
        <f t="shared" si="0"/>
        <v>9863.2634052499343</v>
      </c>
      <c r="M58" s="190">
        <f t="shared" si="1"/>
        <v>171894.32393323409</v>
      </c>
      <c r="N58" s="191">
        <f t="shared" ref="N58:N68" si="2">SUM(C58:J58)</f>
        <v>181757.58733848401</v>
      </c>
      <c r="O58" s="192">
        <v>44286</v>
      </c>
      <c r="P58" s="192">
        <v>44377</v>
      </c>
      <c r="Q58" s="194"/>
      <c r="R58" s="499"/>
    </row>
    <row r="59" spans="1:18" ht="15.75" thickBot="1">
      <c r="A59" s="150" t="s">
        <v>147</v>
      </c>
      <c r="B59" s="143" t="s">
        <v>148</v>
      </c>
      <c r="C59" s="148">
        <v>9248.410621546047</v>
      </c>
      <c r="D59" s="148">
        <v>1778.5405041434708</v>
      </c>
      <c r="E59" s="148">
        <v>67940.247258280579</v>
      </c>
      <c r="F59" s="148">
        <v>184367.15442121032</v>
      </c>
      <c r="G59" s="148">
        <v>48770.246054521136</v>
      </c>
      <c r="H59" s="149">
        <v>0</v>
      </c>
      <c r="I59" s="149">
        <v>0</v>
      </c>
      <c r="J59" s="149">
        <v>0</v>
      </c>
      <c r="K59" s="188">
        <f>K58+F57</f>
        <v>402770.24605452112</v>
      </c>
      <c r="L59" s="189">
        <f t="shared" si="0"/>
        <v>9248.410621546047</v>
      </c>
      <c r="M59" s="190">
        <f t="shared" si="1"/>
        <v>302856.1882381555</v>
      </c>
      <c r="N59" s="191">
        <f t="shared" si="2"/>
        <v>312104.59885970154</v>
      </c>
      <c r="O59" s="192">
        <v>44469</v>
      </c>
      <c r="P59" s="192">
        <v>44561</v>
      </c>
      <c r="Q59" s="194"/>
      <c r="R59" s="195">
        <v>170</v>
      </c>
    </row>
    <row r="60" spans="1:18" ht="15.75" thickBot="1">
      <c r="A60" s="151" t="s">
        <v>149</v>
      </c>
      <c r="B60" s="143" t="s">
        <v>150</v>
      </c>
      <c r="C60" s="148">
        <v>9248.410621546047</v>
      </c>
      <c r="D60" s="148">
        <v>1778.5405041434708</v>
      </c>
      <c r="E60" s="148">
        <v>67940.247258280579</v>
      </c>
      <c r="F60" s="148">
        <v>184367.15442121032</v>
      </c>
      <c r="G60" s="148">
        <v>97540.492109042272</v>
      </c>
      <c r="H60" s="149">
        <v>0</v>
      </c>
      <c r="I60" s="149">
        <v>0</v>
      </c>
      <c r="J60" s="149">
        <v>0</v>
      </c>
      <c r="K60" s="188">
        <f>K58+G51</f>
        <v>475500</v>
      </c>
      <c r="L60" s="189">
        <f t="shared" si="0"/>
        <v>9248.410621546047</v>
      </c>
      <c r="M60" s="190">
        <f t="shared" si="1"/>
        <v>351626.43429267663</v>
      </c>
      <c r="N60" s="191">
        <f t="shared" si="2"/>
        <v>360874.84491422272</v>
      </c>
      <c r="O60" s="192">
        <v>44651</v>
      </c>
      <c r="P60" s="192">
        <v>44742</v>
      </c>
      <c r="Q60" s="194"/>
      <c r="R60" s="196">
        <v>170</v>
      </c>
    </row>
    <row r="61" spans="1:18" ht="15.75" thickBot="1">
      <c r="A61" s="151"/>
      <c r="B61" s="143" t="s">
        <v>151</v>
      </c>
      <c r="C61" s="148">
        <v>5907.7582612279348</v>
      </c>
      <c r="D61" s="148">
        <v>1136.1073579284489</v>
      </c>
      <c r="E61" s="148">
        <v>43399.30107286675</v>
      </c>
      <c r="F61" s="148">
        <v>172874.13700274535</v>
      </c>
      <c r="G61" s="148">
        <v>92183.577210605159</v>
      </c>
      <c r="H61" s="149">
        <v>0</v>
      </c>
      <c r="I61" s="149">
        <v>0</v>
      </c>
      <c r="J61" s="149">
        <v>0</v>
      </c>
      <c r="K61" s="188">
        <f>K59+G57</f>
        <v>402770.24605452112</v>
      </c>
      <c r="L61" s="189">
        <f t="shared" si="0"/>
        <v>5907.7582612279348</v>
      </c>
      <c r="M61" s="190">
        <f t="shared" si="1"/>
        <v>309593.12264414568</v>
      </c>
      <c r="N61" s="191">
        <f t="shared" si="2"/>
        <v>315500.88090537366</v>
      </c>
      <c r="O61" s="192">
        <v>44834</v>
      </c>
      <c r="P61" s="192">
        <v>44926</v>
      </c>
      <c r="Q61" s="194"/>
      <c r="R61" s="195">
        <v>255</v>
      </c>
    </row>
    <row r="62" spans="1:18" ht="15.75" thickBot="1">
      <c r="A62" s="151"/>
      <c r="B62" s="143" t="s">
        <v>152</v>
      </c>
      <c r="C62" s="148">
        <v>5907.7582612279348</v>
      </c>
      <c r="D62" s="148">
        <v>1136.1073579284489</v>
      </c>
      <c r="E62" s="148">
        <v>43399.30107286675</v>
      </c>
      <c r="F62" s="148">
        <v>172874.13700274535</v>
      </c>
      <c r="G62" s="148">
        <v>92183.577210605159</v>
      </c>
      <c r="H62" s="149">
        <v>0</v>
      </c>
      <c r="I62" s="149">
        <v>0</v>
      </c>
      <c r="J62" s="149">
        <v>0</v>
      </c>
      <c r="K62" s="188">
        <f>K60+H50</f>
        <v>475500</v>
      </c>
      <c r="L62" s="189">
        <f t="shared" si="0"/>
        <v>5907.7582612279348</v>
      </c>
      <c r="M62" s="190">
        <f t="shared" si="1"/>
        <v>309593.12264414568</v>
      </c>
      <c r="N62" s="191">
        <f t="shared" si="2"/>
        <v>315500.88090537366</v>
      </c>
      <c r="O62" s="192">
        <v>45016</v>
      </c>
      <c r="P62" s="192">
        <v>45107</v>
      </c>
      <c r="Q62" s="194"/>
      <c r="R62" s="196">
        <v>255</v>
      </c>
    </row>
    <row r="63" spans="1:18" ht="15.75" thickBot="1">
      <c r="A63" s="151"/>
      <c r="B63" s="143" t="s">
        <v>153</v>
      </c>
      <c r="C63" s="148">
        <v>3750.3336313624231</v>
      </c>
      <c r="D63" s="148">
        <v>721.21800603123518</v>
      </c>
      <c r="E63" s="148">
        <v>27550.527830393185</v>
      </c>
      <c r="F63" s="148">
        <v>110429.63519064523</v>
      </c>
      <c r="G63" s="148">
        <v>86437.068501372676</v>
      </c>
      <c r="H63" s="149">
        <v>0</v>
      </c>
      <c r="I63" s="149">
        <v>0</v>
      </c>
      <c r="J63" s="149">
        <v>0</v>
      </c>
      <c r="K63" s="188">
        <f>K61+H51</f>
        <v>402770.24605452112</v>
      </c>
      <c r="L63" s="189">
        <f t="shared" si="0"/>
        <v>3750.3336313624231</v>
      </c>
      <c r="M63" s="190">
        <f t="shared" si="1"/>
        <v>225138.44952844232</v>
      </c>
      <c r="N63" s="191">
        <f t="shared" si="2"/>
        <v>228888.78315980476</v>
      </c>
      <c r="O63" s="192">
        <v>45199</v>
      </c>
      <c r="P63" s="192">
        <v>45291</v>
      </c>
      <c r="Q63" s="194"/>
      <c r="R63" s="195">
        <v>250</v>
      </c>
    </row>
    <row r="64" spans="1:18" ht="15.75" thickBot="1">
      <c r="A64" s="151"/>
      <c r="B64" s="143" t="s">
        <v>154</v>
      </c>
      <c r="C64" s="148">
        <v>3437.805828748888</v>
      </c>
      <c r="D64" s="148">
        <v>661.11650552863227</v>
      </c>
      <c r="E64" s="148">
        <v>27550.527830393185</v>
      </c>
      <c r="F64" s="148">
        <v>110429.63519064523</v>
      </c>
      <c r="G64" s="148">
        <v>86437.068501372676</v>
      </c>
      <c r="H64" s="149">
        <v>0</v>
      </c>
      <c r="I64" s="149">
        <v>0</v>
      </c>
      <c r="J64" s="149">
        <v>0</v>
      </c>
      <c r="K64" s="188">
        <f>K62+H57</f>
        <v>475500</v>
      </c>
      <c r="L64" s="189">
        <f t="shared" si="0"/>
        <v>3437.805828748888</v>
      </c>
      <c r="M64" s="190">
        <f t="shared" si="1"/>
        <v>225078.34802793973</v>
      </c>
      <c r="N64" s="191">
        <f t="shared" si="2"/>
        <v>228516.15385668862</v>
      </c>
      <c r="O64" s="192">
        <v>45382</v>
      </c>
      <c r="P64" s="192">
        <v>45473</v>
      </c>
      <c r="Q64" s="194"/>
      <c r="R64" s="196">
        <v>250</v>
      </c>
    </row>
    <row r="65" spans="1:18" ht="15.75" thickBot="1">
      <c r="A65" s="151"/>
      <c r="B65" s="143" t="s">
        <v>155</v>
      </c>
      <c r="C65" s="148" t="s">
        <v>67</v>
      </c>
      <c r="D65" s="148" t="s">
        <v>67</v>
      </c>
      <c r="E65" s="148" t="s">
        <v>67</v>
      </c>
      <c r="F65" s="148">
        <v>70102.390186236065</v>
      </c>
      <c r="G65" s="148">
        <v>55214.817595322616</v>
      </c>
      <c r="H65" s="149">
        <v>0</v>
      </c>
      <c r="I65" s="149">
        <v>0</v>
      </c>
      <c r="J65" s="149">
        <v>0</v>
      </c>
      <c r="K65" s="188">
        <f>K63+H58</f>
        <v>402770.24605452112</v>
      </c>
      <c r="L65" s="189" t="str">
        <f t="shared" si="0"/>
        <v>-</v>
      </c>
      <c r="M65" s="190">
        <f t="shared" si="1"/>
        <v>125317.20778155868</v>
      </c>
      <c r="N65" s="191">
        <f t="shared" si="2"/>
        <v>125317.20778155868</v>
      </c>
      <c r="O65" s="192">
        <v>45565</v>
      </c>
      <c r="P65" s="192">
        <v>45657</v>
      </c>
      <c r="Q65" s="194"/>
      <c r="R65" s="195">
        <v>190</v>
      </c>
    </row>
    <row r="66" spans="1:18" ht="15.75" thickBot="1">
      <c r="A66" s="151"/>
      <c r="B66" s="143" t="s">
        <v>156</v>
      </c>
      <c r="C66" s="148" t="s">
        <v>67</v>
      </c>
      <c r="D66" s="148" t="s">
        <v>67</v>
      </c>
      <c r="E66" s="148" t="s">
        <v>67</v>
      </c>
      <c r="F66" s="148">
        <v>70102.390186236065</v>
      </c>
      <c r="G66" s="148">
        <v>55214.817595322616</v>
      </c>
      <c r="H66" s="149">
        <v>0</v>
      </c>
      <c r="I66" s="149">
        <v>0</v>
      </c>
      <c r="J66" s="149">
        <v>0</v>
      </c>
      <c r="K66" s="188">
        <f>K64+J50-SUM(E51)</f>
        <v>380000</v>
      </c>
      <c r="L66" s="189" t="str">
        <f t="shared" si="0"/>
        <v>-</v>
      </c>
      <c r="M66" s="190">
        <f t="shared" si="1"/>
        <v>125317.20778155868</v>
      </c>
      <c r="N66" s="191">
        <f t="shared" si="2"/>
        <v>125317.20778155868</v>
      </c>
      <c r="O66" s="192">
        <v>45747</v>
      </c>
      <c r="P66" s="192">
        <v>45838</v>
      </c>
      <c r="Q66" s="194"/>
      <c r="R66" s="196">
        <v>190</v>
      </c>
    </row>
    <row r="67" spans="1:18" ht="15.75" thickBot="1">
      <c r="A67" s="151"/>
      <c r="B67" s="152" t="s">
        <v>157</v>
      </c>
      <c r="C67" s="148" t="s">
        <v>67</v>
      </c>
      <c r="D67" s="148" t="s">
        <v>67</v>
      </c>
      <c r="E67" s="149" t="s">
        <v>67</v>
      </c>
      <c r="F67" s="149"/>
      <c r="G67" s="149"/>
      <c r="H67" s="149">
        <v>0</v>
      </c>
      <c r="I67" s="149">
        <v>0</v>
      </c>
      <c r="J67" s="149">
        <v>0</v>
      </c>
      <c r="K67" s="188">
        <f>K65+J51-SUM(E57)</f>
        <v>330313.19565441582</v>
      </c>
      <c r="L67" s="189" t="str">
        <f t="shared" si="0"/>
        <v>-</v>
      </c>
      <c r="M67" s="190">
        <f t="shared" si="1"/>
        <v>0</v>
      </c>
      <c r="N67" s="191">
        <f t="shared" si="2"/>
        <v>0</v>
      </c>
      <c r="O67" s="192">
        <v>45930</v>
      </c>
      <c r="P67" s="192">
        <v>46022</v>
      </c>
      <c r="Q67" s="194"/>
      <c r="R67" s="195">
        <v>110</v>
      </c>
    </row>
    <row r="68" spans="1:18" ht="15.75" thickBot="1">
      <c r="K68" s="188">
        <f>K66-F51</f>
        <v>137000</v>
      </c>
      <c r="L68" s="189">
        <f t="shared" si="0"/>
        <v>0</v>
      </c>
      <c r="M68" s="190">
        <f t="shared" si="1"/>
        <v>0</v>
      </c>
      <c r="N68" s="191">
        <f t="shared" si="2"/>
        <v>0</v>
      </c>
      <c r="O68" s="192"/>
      <c r="P68" s="192"/>
      <c r="Q68" s="194"/>
      <c r="R68" s="196">
        <v>110</v>
      </c>
    </row>
    <row r="69" spans="1:18" ht="15.75" thickBot="1">
      <c r="K69" s="188">
        <f>K68-G51</f>
        <v>15500</v>
      </c>
      <c r="L69" s="197"/>
      <c r="M69" s="197"/>
      <c r="N69" s="191"/>
      <c r="O69" s="198"/>
      <c r="P69" s="198"/>
      <c r="Q69" s="194">
        <f>N69</f>
        <v>0</v>
      </c>
      <c r="R69" s="3"/>
    </row>
    <row r="70" spans="1:18" ht="15.75" thickBot="1">
      <c r="K70" s="188"/>
      <c r="L70" s="197"/>
      <c r="M70" s="197"/>
      <c r="N70" s="199"/>
      <c r="O70" s="198"/>
      <c r="P70" s="198"/>
      <c r="Q70" s="200"/>
      <c r="R70" s="49"/>
    </row>
    <row r="71" spans="1:18" ht="15.75" thickBot="1">
      <c r="K71" s="201" t="s">
        <v>66</v>
      </c>
      <c r="L71" s="202">
        <f>SUM(L56:L70)</f>
        <v>79014.841340002036</v>
      </c>
      <c r="M71" s="202">
        <f>SUM(M56:M70)</f>
        <v>2342024.9414729704</v>
      </c>
      <c r="N71" s="199">
        <f>SUM(N57:N69)</f>
        <v>2326765.4867867297</v>
      </c>
      <c r="O71" s="198"/>
      <c r="P71" s="198"/>
      <c r="Q71" s="203" t="s">
        <v>158</v>
      </c>
      <c r="R71" s="204">
        <f>SUM(R57:R68)*1000</f>
        <v>2090000</v>
      </c>
    </row>
    <row r="72" spans="1:18" ht="15.75" thickBot="1">
      <c r="K72" s="201" t="s">
        <v>159</v>
      </c>
      <c r="L72" s="205"/>
      <c r="M72" s="205"/>
      <c r="N72" s="199">
        <f>N71/7</f>
        <v>332395.06954096135</v>
      </c>
      <c r="O72" s="198"/>
      <c r="P72" s="198"/>
      <c r="Q72" s="206">
        <f>N72/C42</f>
        <v>275539.08664434572</v>
      </c>
      <c r="R72" s="3"/>
    </row>
  </sheetData>
  <mergeCells count="43">
    <mergeCell ref="B28:E28"/>
    <mergeCell ref="H28:M28"/>
    <mergeCell ref="B32:G32"/>
    <mergeCell ref="B25:E25"/>
    <mergeCell ref="H25:M25"/>
    <mergeCell ref="B26:E26"/>
    <mergeCell ref="H26:M26"/>
    <mergeCell ref="B27:E27"/>
    <mergeCell ref="H27:M27"/>
    <mergeCell ref="B22:E22"/>
    <mergeCell ref="H22:M22"/>
    <mergeCell ref="B23:E23"/>
    <mergeCell ref="H23:M23"/>
    <mergeCell ref="B24:E24"/>
    <mergeCell ref="H24:M24"/>
    <mergeCell ref="B19:E19"/>
    <mergeCell ref="H19:M19"/>
    <mergeCell ref="B20:E20"/>
    <mergeCell ref="H20:M20"/>
    <mergeCell ref="B21:E21"/>
    <mergeCell ref="H21:M21"/>
    <mergeCell ref="B16:E16"/>
    <mergeCell ref="H16:M16"/>
    <mergeCell ref="B17:E17"/>
    <mergeCell ref="H17:M17"/>
    <mergeCell ref="B18:E18"/>
    <mergeCell ref="H18:M18"/>
    <mergeCell ref="K49:K50"/>
    <mergeCell ref="O50:P50"/>
    <mergeCell ref="R57:R58"/>
    <mergeCell ref="F2:I2"/>
    <mergeCell ref="F3:I3"/>
    <mergeCell ref="B6:H6"/>
    <mergeCell ref="J6:K6"/>
    <mergeCell ref="H11:M11"/>
    <mergeCell ref="B12:E12"/>
    <mergeCell ref="H12:M12"/>
    <mergeCell ref="B13:E13"/>
    <mergeCell ref="H13:M13"/>
    <mergeCell ref="B14:E14"/>
    <mergeCell ref="H14:M14"/>
    <mergeCell ref="B15:E15"/>
    <mergeCell ref="H15:M15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BV395"/>
  <sheetViews>
    <sheetView topLeftCell="C1" zoomScale="90" zoomScaleNormal="90" zoomScalePageLayoutView="90" workbookViewId="0">
      <selection activeCell="N12" sqref="N12"/>
    </sheetView>
  </sheetViews>
  <sheetFormatPr baseColWidth="10" defaultColWidth="11.42578125" defaultRowHeight="15"/>
  <cols>
    <col min="1" max="1" width="24.5703125" customWidth="1"/>
    <col min="2" max="2" width="44.5703125" customWidth="1"/>
    <col min="3" max="3" width="19.5703125" customWidth="1"/>
    <col min="4" max="4" width="14.5703125" customWidth="1"/>
    <col min="5" max="5" width="34.140625" customWidth="1"/>
    <col min="6" max="6" width="18.42578125" customWidth="1"/>
    <col min="7" max="7" width="14.42578125" customWidth="1"/>
    <col min="8" max="8" width="7.5703125" customWidth="1"/>
    <col min="9" max="9" width="19.5703125" customWidth="1"/>
    <col min="10" max="10" width="17.85546875" customWidth="1"/>
    <col min="11" max="11" width="9.85546875" customWidth="1"/>
    <col min="12" max="12" width="9.5703125" customWidth="1"/>
    <col min="13" max="13" width="9.42578125" customWidth="1"/>
    <col min="14" max="14" width="11.140625" customWidth="1"/>
    <col min="15" max="15" width="12.140625" customWidth="1"/>
    <col min="17" max="17" width="17.42578125" customWidth="1"/>
    <col min="18" max="18" width="19.5703125" customWidth="1"/>
    <col min="19" max="19" width="25.42578125" customWidth="1"/>
    <col min="258" max="258" width="22" bestFit="1" customWidth="1"/>
    <col min="259" max="259" width="33.5703125" customWidth="1"/>
    <col min="260" max="260" width="10.5703125" customWidth="1"/>
    <col min="261" max="261" width="15.42578125" customWidth="1"/>
    <col min="262" max="262" width="12.5703125" customWidth="1"/>
    <col min="263" max="263" width="15.5703125" customWidth="1"/>
    <col min="264" max="264" width="15.42578125" customWidth="1"/>
    <col min="265" max="265" width="7.42578125" bestFit="1" customWidth="1"/>
    <col min="266" max="266" width="32" bestFit="1" customWidth="1"/>
    <col min="267" max="267" width="30.140625" bestFit="1" customWidth="1"/>
    <col min="268" max="268" width="12" bestFit="1" customWidth="1"/>
    <col min="269" max="269" width="12.42578125" bestFit="1" customWidth="1"/>
    <col min="270" max="270" width="11.140625" customWidth="1"/>
    <col min="271" max="271" width="12.140625" customWidth="1"/>
    <col min="514" max="514" width="22" bestFit="1" customWidth="1"/>
    <col min="515" max="515" width="33.5703125" customWidth="1"/>
    <col min="516" max="516" width="10.5703125" customWidth="1"/>
    <col min="517" max="517" width="15.42578125" customWidth="1"/>
    <col min="518" max="518" width="12.5703125" customWidth="1"/>
    <col min="519" max="519" width="15.5703125" customWidth="1"/>
    <col min="520" max="520" width="15.42578125" customWidth="1"/>
    <col min="521" max="521" width="7.42578125" bestFit="1" customWidth="1"/>
    <col min="522" max="522" width="32" bestFit="1" customWidth="1"/>
    <col min="523" max="523" width="30.140625" bestFit="1" customWidth="1"/>
    <col min="524" max="524" width="12" bestFit="1" customWidth="1"/>
    <col min="525" max="525" width="12.42578125" bestFit="1" customWidth="1"/>
    <col min="526" max="526" width="11.140625" customWidth="1"/>
    <col min="527" max="527" width="12.140625" customWidth="1"/>
    <col min="770" max="770" width="22" bestFit="1" customWidth="1"/>
    <col min="771" max="771" width="33.5703125" customWidth="1"/>
    <col min="772" max="772" width="10.5703125" customWidth="1"/>
    <col min="773" max="773" width="15.42578125" customWidth="1"/>
    <col min="774" max="774" width="12.5703125" customWidth="1"/>
    <col min="775" max="775" width="15.5703125" customWidth="1"/>
    <col min="776" max="776" width="15.42578125" customWidth="1"/>
    <col min="777" max="777" width="7.42578125" bestFit="1" customWidth="1"/>
    <col min="778" max="778" width="32" bestFit="1" customWidth="1"/>
    <col min="779" max="779" width="30.140625" bestFit="1" customWidth="1"/>
    <col min="780" max="780" width="12" bestFit="1" customWidth="1"/>
    <col min="781" max="781" width="12.42578125" bestFit="1" customWidth="1"/>
    <col min="782" max="782" width="11.140625" customWidth="1"/>
    <col min="783" max="783" width="12.140625" customWidth="1"/>
    <col min="1026" max="1026" width="22" bestFit="1" customWidth="1"/>
    <col min="1027" max="1027" width="33.5703125" customWidth="1"/>
    <col min="1028" max="1028" width="10.5703125" customWidth="1"/>
    <col min="1029" max="1029" width="15.42578125" customWidth="1"/>
    <col min="1030" max="1030" width="12.5703125" customWidth="1"/>
    <col min="1031" max="1031" width="15.5703125" customWidth="1"/>
    <col min="1032" max="1032" width="15.42578125" customWidth="1"/>
    <col min="1033" max="1033" width="7.42578125" bestFit="1" customWidth="1"/>
    <col min="1034" max="1034" width="32" bestFit="1" customWidth="1"/>
    <col min="1035" max="1035" width="30.140625" bestFit="1" customWidth="1"/>
    <col min="1036" max="1036" width="12" bestFit="1" customWidth="1"/>
    <col min="1037" max="1037" width="12.42578125" bestFit="1" customWidth="1"/>
    <col min="1038" max="1038" width="11.140625" customWidth="1"/>
    <col min="1039" max="1039" width="12.140625" customWidth="1"/>
    <col min="1282" max="1282" width="22" bestFit="1" customWidth="1"/>
    <col min="1283" max="1283" width="33.5703125" customWidth="1"/>
    <col min="1284" max="1284" width="10.5703125" customWidth="1"/>
    <col min="1285" max="1285" width="15.42578125" customWidth="1"/>
    <col min="1286" max="1286" width="12.5703125" customWidth="1"/>
    <col min="1287" max="1287" width="15.5703125" customWidth="1"/>
    <col min="1288" max="1288" width="15.42578125" customWidth="1"/>
    <col min="1289" max="1289" width="7.42578125" bestFit="1" customWidth="1"/>
    <col min="1290" max="1290" width="32" bestFit="1" customWidth="1"/>
    <col min="1291" max="1291" width="30.140625" bestFit="1" customWidth="1"/>
    <col min="1292" max="1292" width="12" bestFit="1" customWidth="1"/>
    <col min="1293" max="1293" width="12.42578125" bestFit="1" customWidth="1"/>
    <col min="1294" max="1294" width="11.140625" customWidth="1"/>
    <col min="1295" max="1295" width="12.140625" customWidth="1"/>
    <col min="1538" max="1538" width="22" bestFit="1" customWidth="1"/>
    <col min="1539" max="1539" width="33.5703125" customWidth="1"/>
    <col min="1540" max="1540" width="10.5703125" customWidth="1"/>
    <col min="1541" max="1541" width="15.42578125" customWidth="1"/>
    <col min="1542" max="1542" width="12.5703125" customWidth="1"/>
    <col min="1543" max="1543" width="15.5703125" customWidth="1"/>
    <col min="1544" max="1544" width="15.42578125" customWidth="1"/>
    <col min="1545" max="1545" width="7.42578125" bestFit="1" customWidth="1"/>
    <col min="1546" max="1546" width="32" bestFit="1" customWidth="1"/>
    <col min="1547" max="1547" width="30.140625" bestFit="1" customWidth="1"/>
    <col min="1548" max="1548" width="12" bestFit="1" customWidth="1"/>
    <col min="1549" max="1549" width="12.42578125" bestFit="1" customWidth="1"/>
    <col min="1550" max="1550" width="11.140625" customWidth="1"/>
    <col min="1551" max="1551" width="12.140625" customWidth="1"/>
    <col min="1794" max="1794" width="22" bestFit="1" customWidth="1"/>
    <col min="1795" max="1795" width="33.5703125" customWidth="1"/>
    <col min="1796" max="1796" width="10.5703125" customWidth="1"/>
    <col min="1797" max="1797" width="15.42578125" customWidth="1"/>
    <col min="1798" max="1798" width="12.5703125" customWidth="1"/>
    <col min="1799" max="1799" width="15.5703125" customWidth="1"/>
    <col min="1800" max="1800" width="15.42578125" customWidth="1"/>
    <col min="1801" max="1801" width="7.42578125" bestFit="1" customWidth="1"/>
    <col min="1802" max="1802" width="32" bestFit="1" customWidth="1"/>
    <col min="1803" max="1803" width="30.140625" bestFit="1" customWidth="1"/>
    <col min="1804" max="1804" width="12" bestFit="1" customWidth="1"/>
    <col min="1805" max="1805" width="12.42578125" bestFit="1" customWidth="1"/>
    <col min="1806" max="1806" width="11.140625" customWidth="1"/>
    <col min="1807" max="1807" width="12.140625" customWidth="1"/>
    <col min="2050" max="2050" width="22" bestFit="1" customWidth="1"/>
    <col min="2051" max="2051" width="33.5703125" customWidth="1"/>
    <col min="2052" max="2052" width="10.5703125" customWidth="1"/>
    <col min="2053" max="2053" width="15.42578125" customWidth="1"/>
    <col min="2054" max="2054" width="12.5703125" customWidth="1"/>
    <col min="2055" max="2055" width="15.5703125" customWidth="1"/>
    <col min="2056" max="2056" width="15.42578125" customWidth="1"/>
    <col min="2057" max="2057" width="7.42578125" bestFit="1" customWidth="1"/>
    <col min="2058" max="2058" width="32" bestFit="1" customWidth="1"/>
    <col min="2059" max="2059" width="30.140625" bestFit="1" customWidth="1"/>
    <col min="2060" max="2060" width="12" bestFit="1" customWidth="1"/>
    <col min="2061" max="2061" width="12.42578125" bestFit="1" customWidth="1"/>
    <col min="2062" max="2062" width="11.140625" customWidth="1"/>
    <col min="2063" max="2063" width="12.140625" customWidth="1"/>
    <col min="2306" max="2306" width="22" bestFit="1" customWidth="1"/>
    <col min="2307" max="2307" width="33.5703125" customWidth="1"/>
    <col min="2308" max="2308" width="10.5703125" customWidth="1"/>
    <col min="2309" max="2309" width="15.42578125" customWidth="1"/>
    <col min="2310" max="2310" width="12.5703125" customWidth="1"/>
    <col min="2311" max="2311" width="15.5703125" customWidth="1"/>
    <col min="2312" max="2312" width="15.42578125" customWidth="1"/>
    <col min="2313" max="2313" width="7.42578125" bestFit="1" customWidth="1"/>
    <col min="2314" max="2314" width="32" bestFit="1" customWidth="1"/>
    <col min="2315" max="2315" width="30.140625" bestFit="1" customWidth="1"/>
    <col min="2316" max="2316" width="12" bestFit="1" customWidth="1"/>
    <col min="2317" max="2317" width="12.42578125" bestFit="1" customWidth="1"/>
    <col min="2318" max="2318" width="11.140625" customWidth="1"/>
    <col min="2319" max="2319" width="12.140625" customWidth="1"/>
    <col min="2562" max="2562" width="22" bestFit="1" customWidth="1"/>
    <col min="2563" max="2563" width="33.5703125" customWidth="1"/>
    <col min="2564" max="2564" width="10.5703125" customWidth="1"/>
    <col min="2565" max="2565" width="15.42578125" customWidth="1"/>
    <col min="2566" max="2566" width="12.5703125" customWidth="1"/>
    <col min="2567" max="2567" width="15.5703125" customWidth="1"/>
    <col min="2568" max="2568" width="15.42578125" customWidth="1"/>
    <col min="2569" max="2569" width="7.42578125" bestFit="1" customWidth="1"/>
    <col min="2570" max="2570" width="32" bestFit="1" customWidth="1"/>
    <col min="2571" max="2571" width="30.140625" bestFit="1" customWidth="1"/>
    <col min="2572" max="2572" width="12" bestFit="1" customWidth="1"/>
    <col min="2573" max="2573" width="12.42578125" bestFit="1" customWidth="1"/>
    <col min="2574" max="2574" width="11.140625" customWidth="1"/>
    <col min="2575" max="2575" width="12.140625" customWidth="1"/>
    <col min="2818" max="2818" width="22" bestFit="1" customWidth="1"/>
    <col min="2819" max="2819" width="33.5703125" customWidth="1"/>
    <col min="2820" max="2820" width="10.5703125" customWidth="1"/>
    <col min="2821" max="2821" width="15.42578125" customWidth="1"/>
    <col min="2822" max="2822" width="12.5703125" customWidth="1"/>
    <col min="2823" max="2823" width="15.5703125" customWidth="1"/>
    <col min="2824" max="2824" width="15.42578125" customWidth="1"/>
    <col min="2825" max="2825" width="7.42578125" bestFit="1" customWidth="1"/>
    <col min="2826" max="2826" width="32" bestFit="1" customWidth="1"/>
    <col min="2827" max="2827" width="30.140625" bestFit="1" customWidth="1"/>
    <col min="2828" max="2828" width="12" bestFit="1" customWidth="1"/>
    <col min="2829" max="2829" width="12.42578125" bestFit="1" customWidth="1"/>
    <col min="2830" max="2830" width="11.140625" customWidth="1"/>
    <col min="2831" max="2831" width="12.140625" customWidth="1"/>
    <col min="3074" max="3074" width="22" bestFit="1" customWidth="1"/>
    <col min="3075" max="3075" width="33.5703125" customWidth="1"/>
    <col min="3076" max="3076" width="10.5703125" customWidth="1"/>
    <col min="3077" max="3077" width="15.42578125" customWidth="1"/>
    <col min="3078" max="3078" width="12.5703125" customWidth="1"/>
    <col min="3079" max="3079" width="15.5703125" customWidth="1"/>
    <col min="3080" max="3080" width="15.42578125" customWidth="1"/>
    <col min="3081" max="3081" width="7.42578125" bestFit="1" customWidth="1"/>
    <col min="3082" max="3082" width="32" bestFit="1" customWidth="1"/>
    <col min="3083" max="3083" width="30.140625" bestFit="1" customWidth="1"/>
    <col min="3084" max="3084" width="12" bestFit="1" customWidth="1"/>
    <col min="3085" max="3085" width="12.42578125" bestFit="1" customWidth="1"/>
    <col min="3086" max="3086" width="11.140625" customWidth="1"/>
    <col min="3087" max="3087" width="12.140625" customWidth="1"/>
    <col min="3330" max="3330" width="22" bestFit="1" customWidth="1"/>
    <col min="3331" max="3331" width="33.5703125" customWidth="1"/>
    <col min="3332" max="3332" width="10.5703125" customWidth="1"/>
    <col min="3333" max="3333" width="15.42578125" customWidth="1"/>
    <col min="3334" max="3334" width="12.5703125" customWidth="1"/>
    <col min="3335" max="3335" width="15.5703125" customWidth="1"/>
    <col min="3336" max="3336" width="15.42578125" customWidth="1"/>
    <col min="3337" max="3337" width="7.42578125" bestFit="1" customWidth="1"/>
    <col min="3338" max="3338" width="32" bestFit="1" customWidth="1"/>
    <col min="3339" max="3339" width="30.140625" bestFit="1" customWidth="1"/>
    <col min="3340" max="3340" width="12" bestFit="1" customWidth="1"/>
    <col min="3341" max="3341" width="12.42578125" bestFit="1" customWidth="1"/>
    <col min="3342" max="3342" width="11.140625" customWidth="1"/>
    <col min="3343" max="3343" width="12.140625" customWidth="1"/>
    <col min="3586" max="3586" width="22" bestFit="1" customWidth="1"/>
    <col min="3587" max="3587" width="33.5703125" customWidth="1"/>
    <col min="3588" max="3588" width="10.5703125" customWidth="1"/>
    <col min="3589" max="3589" width="15.42578125" customWidth="1"/>
    <col min="3590" max="3590" width="12.5703125" customWidth="1"/>
    <col min="3591" max="3591" width="15.5703125" customWidth="1"/>
    <col min="3592" max="3592" width="15.42578125" customWidth="1"/>
    <col min="3593" max="3593" width="7.42578125" bestFit="1" customWidth="1"/>
    <col min="3594" max="3594" width="32" bestFit="1" customWidth="1"/>
    <col min="3595" max="3595" width="30.140625" bestFit="1" customWidth="1"/>
    <col min="3596" max="3596" width="12" bestFit="1" customWidth="1"/>
    <col min="3597" max="3597" width="12.42578125" bestFit="1" customWidth="1"/>
    <col min="3598" max="3598" width="11.140625" customWidth="1"/>
    <col min="3599" max="3599" width="12.140625" customWidth="1"/>
    <col min="3842" max="3842" width="22" bestFit="1" customWidth="1"/>
    <col min="3843" max="3843" width="33.5703125" customWidth="1"/>
    <col min="3844" max="3844" width="10.5703125" customWidth="1"/>
    <col min="3845" max="3845" width="15.42578125" customWidth="1"/>
    <col min="3846" max="3846" width="12.5703125" customWidth="1"/>
    <col min="3847" max="3847" width="15.5703125" customWidth="1"/>
    <col min="3848" max="3848" width="15.42578125" customWidth="1"/>
    <col min="3849" max="3849" width="7.42578125" bestFit="1" customWidth="1"/>
    <col min="3850" max="3850" width="32" bestFit="1" customWidth="1"/>
    <col min="3851" max="3851" width="30.140625" bestFit="1" customWidth="1"/>
    <col min="3852" max="3852" width="12" bestFit="1" customWidth="1"/>
    <col min="3853" max="3853" width="12.42578125" bestFit="1" customWidth="1"/>
    <col min="3854" max="3854" width="11.140625" customWidth="1"/>
    <col min="3855" max="3855" width="12.140625" customWidth="1"/>
    <col min="4098" max="4098" width="22" bestFit="1" customWidth="1"/>
    <col min="4099" max="4099" width="33.5703125" customWidth="1"/>
    <col min="4100" max="4100" width="10.5703125" customWidth="1"/>
    <col min="4101" max="4101" width="15.42578125" customWidth="1"/>
    <col min="4102" max="4102" width="12.5703125" customWidth="1"/>
    <col min="4103" max="4103" width="15.5703125" customWidth="1"/>
    <col min="4104" max="4104" width="15.42578125" customWidth="1"/>
    <col min="4105" max="4105" width="7.42578125" bestFit="1" customWidth="1"/>
    <col min="4106" max="4106" width="32" bestFit="1" customWidth="1"/>
    <col min="4107" max="4107" width="30.140625" bestFit="1" customWidth="1"/>
    <col min="4108" max="4108" width="12" bestFit="1" customWidth="1"/>
    <col min="4109" max="4109" width="12.42578125" bestFit="1" customWidth="1"/>
    <col min="4110" max="4110" width="11.140625" customWidth="1"/>
    <col min="4111" max="4111" width="12.140625" customWidth="1"/>
    <col min="4354" max="4354" width="22" bestFit="1" customWidth="1"/>
    <col min="4355" max="4355" width="33.5703125" customWidth="1"/>
    <col min="4356" max="4356" width="10.5703125" customWidth="1"/>
    <col min="4357" max="4357" width="15.42578125" customWidth="1"/>
    <col min="4358" max="4358" width="12.5703125" customWidth="1"/>
    <col min="4359" max="4359" width="15.5703125" customWidth="1"/>
    <col min="4360" max="4360" width="15.42578125" customWidth="1"/>
    <col min="4361" max="4361" width="7.42578125" bestFit="1" customWidth="1"/>
    <col min="4362" max="4362" width="32" bestFit="1" customWidth="1"/>
    <col min="4363" max="4363" width="30.140625" bestFit="1" customWidth="1"/>
    <col min="4364" max="4364" width="12" bestFit="1" customWidth="1"/>
    <col min="4365" max="4365" width="12.42578125" bestFit="1" customWidth="1"/>
    <col min="4366" max="4366" width="11.140625" customWidth="1"/>
    <col min="4367" max="4367" width="12.140625" customWidth="1"/>
    <col min="4610" max="4610" width="22" bestFit="1" customWidth="1"/>
    <col min="4611" max="4611" width="33.5703125" customWidth="1"/>
    <col min="4612" max="4612" width="10.5703125" customWidth="1"/>
    <col min="4613" max="4613" width="15.42578125" customWidth="1"/>
    <col min="4614" max="4614" width="12.5703125" customWidth="1"/>
    <col min="4615" max="4615" width="15.5703125" customWidth="1"/>
    <col min="4616" max="4616" width="15.42578125" customWidth="1"/>
    <col min="4617" max="4617" width="7.42578125" bestFit="1" customWidth="1"/>
    <col min="4618" max="4618" width="32" bestFit="1" customWidth="1"/>
    <col min="4619" max="4619" width="30.140625" bestFit="1" customWidth="1"/>
    <col min="4620" max="4620" width="12" bestFit="1" customWidth="1"/>
    <col min="4621" max="4621" width="12.42578125" bestFit="1" customWidth="1"/>
    <col min="4622" max="4622" width="11.140625" customWidth="1"/>
    <col min="4623" max="4623" width="12.140625" customWidth="1"/>
    <col min="4866" max="4866" width="22" bestFit="1" customWidth="1"/>
    <col min="4867" max="4867" width="33.5703125" customWidth="1"/>
    <col min="4868" max="4868" width="10.5703125" customWidth="1"/>
    <col min="4869" max="4869" width="15.42578125" customWidth="1"/>
    <col min="4870" max="4870" width="12.5703125" customWidth="1"/>
    <col min="4871" max="4871" width="15.5703125" customWidth="1"/>
    <col min="4872" max="4872" width="15.42578125" customWidth="1"/>
    <col min="4873" max="4873" width="7.42578125" bestFit="1" customWidth="1"/>
    <col min="4874" max="4874" width="32" bestFit="1" customWidth="1"/>
    <col min="4875" max="4875" width="30.140625" bestFit="1" customWidth="1"/>
    <col min="4876" max="4876" width="12" bestFit="1" customWidth="1"/>
    <col min="4877" max="4877" width="12.42578125" bestFit="1" customWidth="1"/>
    <col min="4878" max="4878" width="11.140625" customWidth="1"/>
    <col min="4879" max="4879" width="12.140625" customWidth="1"/>
    <col min="5122" max="5122" width="22" bestFit="1" customWidth="1"/>
    <col min="5123" max="5123" width="33.5703125" customWidth="1"/>
    <col min="5124" max="5124" width="10.5703125" customWidth="1"/>
    <col min="5125" max="5125" width="15.42578125" customWidth="1"/>
    <col min="5126" max="5126" width="12.5703125" customWidth="1"/>
    <col min="5127" max="5127" width="15.5703125" customWidth="1"/>
    <col min="5128" max="5128" width="15.42578125" customWidth="1"/>
    <col min="5129" max="5129" width="7.42578125" bestFit="1" customWidth="1"/>
    <col min="5130" max="5130" width="32" bestFit="1" customWidth="1"/>
    <col min="5131" max="5131" width="30.140625" bestFit="1" customWidth="1"/>
    <col min="5132" max="5132" width="12" bestFit="1" customWidth="1"/>
    <col min="5133" max="5133" width="12.42578125" bestFit="1" customWidth="1"/>
    <col min="5134" max="5134" width="11.140625" customWidth="1"/>
    <col min="5135" max="5135" width="12.140625" customWidth="1"/>
    <col min="5378" max="5378" width="22" bestFit="1" customWidth="1"/>
    <col min="5379" max="5379" width="33.5703125" customWidth="1"/>
    <col min="5380" max="5380" width="10.5703125" customWidth="1"/>
    <col min="5381" max="5381" width="15.42578125" customWidth="1"/>
    <col min="5382" max="5382" width="12.5703125" customWidth="1"/>
    <col min="5383" max="5383" width="15.5703125" customWidth="1"/>
    <col min="5384" max="5384" width="15.42578125" customWidth="1"/>
    <col min="5385" max="5385" width="7.42578125" bestFit="1" customWidth="1"/>
    <col min="5386" max="5386" width="32" bestFit="1" customWidth="1"/>
    <col min="5387" max="5387" width="30.140625" bestFit="1" customWidth="1"/>
    <col min="5388" max="5388" width="12" bestFit="1" customWidth="1"/>
    <col min="5389" max="5389" width="12.42578125" bestFit="1" customWidth="1"/>
    <col min="5390" max="5390" width="11.140625" customWidth="1"/>
    <col min="5391" max="5391" width="12.140625" customWidth="1"/>
    <col min="5634" max="5634" width="22" bestFit="1" customWidth="1"/>
    <col min="5635" max="5635" width="33.5703125" customWidth="1"/>
    <col min="5636" max="5636" width="10.5703125" customWidth="1"/>
    <col min="5637" max="5637" width="15.42578125" customWidth="1"/>
    <col min="5638" max="5638" width="12.5703125" customWidth="1"/>
    <col min="5639" max="5639" width="15.5703125" customWidth="1"/>
    <col min="5640" max="5640" width="15.42578125" customWidth="1"/>
    <col min="5641" max="5641" width="7.42578125" bestFit="1" customWidth="1"/>
    <col min="5642" max="5642" width="32" bestFit="1" customWidth="1"/>
    <col min="5643" max="5643" width="30.140625" bestFit="1" customWidth="1"/>
    <col min="5644" max="5644" width="12" bestFit="1" customWidth="1"/>
    <col min="5645" max="5645" width="12.42578125" bestFit="1" customWidth="1"/>
    <col min="5646" max="5646" width="11.140625" customWidth="1"/>
    <col min="5647" max="5647" width="12.140625" customWidth="1"/>
    <col min="5890" max="5890" width="22" bestFit="1" customWidth="1"/>
    <col min="5891" max="5891" width="33.5703125" customWidth="1"/>
    <col min="5892" max="5892" width="10.5703125" customWidth="1"/>
    <col min="5893" max="5893" width="15.42578125" customWidth="1"/>
    <col min="5894" max="5894" width="12.5703125" customWidth="1"/>
    <col min="5895" max="5895" width="15.5703125" customWidth="1"/>
    <col min="5896" max="5896" width="15.42578125" customWidth="1"/>
    <col min="5897" max="5897" width="7.42578125" bestFit="1" customWidth="1"/>
    <col min="5898" max="5898" width="32" bestFit="1" customWidth="1"/>
    <col min="5899" max="5899" width="30.140625" bestFit="1" customWidth="1"/>
    <col min="5900" max="5900" width="12" bestFit="1" customWidth="1"/>
    <col min="5901" max="5901" width="12.42578125" bestFit="1" customWidth="1"/>
    <col min="5902" max="5902" width="11.140625" customWidth="1"/>
    <col min="5903" max="5903" width="12.140625" customWidth="1"/>
    <col min="6146" max="6146" width="22" bestFit="1" customWidth="1"/>
    <col min="6147" max="6147" width="33.5703125" customWidth="1"/>
    <col min="6148" max="6148" width="10.5703125" customWidth="1"/>
    <col min="6149" max="6149" width="15.42578125" customWidth="1"/>
    <col min="6150" max="6150" width="12.5703125" customWidth="1"/>
    <col min="6151" max="6151" width="15.5703125" customWidth="1"/>
    <col min="6152" max="6152" width="15.42578125" customWidth="1"/>
    <col min="6153" max="6153" width="7.42578125" bestFit="1" customWidth="1"/>
    <col min="6154" max="6154" width="32" bestFit="1" customWidth="1"/>
    <col min="6155" max="6155" width="30.140625" bestFit="1" customWidth="1"/>
    <col min="6156" max="6156" width="12" bestFit="1" customWidth="1"/>
    <col min="6157" max="6157" width="12.42578125" bestFit="1" customWidth="1"/>
    <col min="6158" max="6158" width="11.140625" customWidth="1"/>
    <col min="6159" max="6159" width="12.140625" customWidth="1"/>
    <col min="6402" max="6402" width="22" bestFit="1" customWidth="1"/>
    <col min="6403" max="6403" width="33.5703125" customWidth="1"/>
    <col min="6404" max="6404" width="10.5703125" customWidth="1"/>
    <col min="6405" max="6405" width="15.42578125" customWidth="1"/>
    <col min="6406" max="6406" width="12.5703125" customWidth="1"/>
    <col min="6407" max="6407" width="15.5703125" customWidth="1"/>
    <col min="6408" max="6408" width="15.42578125" customWidth="1"/>
    <col min="6409" max="6409" width="7.42578125" bestFit="1" customWidth="1"/>
    <col min="6410" max="6410" width="32" bestFit="1" customWidth="1"/>
    <col min="6411" max="6411" width="30.140625" bestFit="1" customWidth="1"/>
    <col min="6412" max="6412" width="12" bestFit="1" customWidth="1"/>
    <col min="6413" max="6413" width="12.42578125" bestFit="1" customWidth="1"/>
    <col min="6414" max="6414" width="11.140625" customWidth="1"/>
    <col min="6415" max="6415" width="12.140625" customWidth="1"/>
    <col min="6658" max="6658" width="22" bestFit="1" customWidth="1"/>
    <col min="6659" max="6659" width="33.5703125" customWidth="1"/>
    <col min="6660" max="6660" width="10.5703125" customWidth="1"/>
    <col min="6661" max="6661" width="15.42578125" customWidth="1"/>
    <col min="6662" max="6662" width="12.5703125" customWidth="1"/>
    <col min="6663" max="6663" width="15.5703125" customWidth="1"/>
    <col min="6664" max="6664" width="15.42578125" customWidth="1"/>
    <col min="6665" max="6665" width="7.42578125" bestFit="1" customWidth="1"/>
    <col min="6666" max="6666" width="32" bestFit="1" customWidth="1"/>
    <col min="6667" max="6667" width="30.140625" bestFit="1" customWidth="1"/>
    <col min="6668" max="6668" width="12" bestFit="1" customWidth="1"/>
    <col min="6669" max="6669" width="12.42578125" bestFit="1" customWidth="1"/>
    <col min="6670" max="6670" width="11.140625" customWidth="1"/>
    <col min="6671" max="6671" width="12.140625" customWidth="1"/>
    <col min="6914" max="6914" width="22" bestFit="1" customWidth="1"/>
    <col min="6915" max="6915" width="33.5703125" customWidth="1"/>
    <col min="6916" max="6916" width="10.5703125" customWidth="1"/>
    <col min="6917" max="6917" width="15.42578125" customWidth="1"/>
    <col min="6918" max="6918" width="12.5703125" customWidth="1"/>
    <col min="6919" max="6919" width="15.5703125" customWidth="1"/>
    <col min="6920" max="6920" width="15.42578125" customWidth="1"/>
    <col min="6921" max="6921" width="7.42578125" bestFit="1" customWidth="1"/>
    <col min="6922" max="6922" width="32" bestFit="1" customWidth="1"/>
    <col min="6923" max="6923" width="30.140625" bestFit="1" customWidth="1"/>
    <col min="6924" max="6924" width="12" bestFit="1" customWidth="1"/>
    <col min="6925" max="6925" width="12.42578125" bestFit="1" customWidth="1"/>
    <col min="6926" max="6926" width="11.140625" customWidth="1"/>
    <col min="6927" max="6927" width="12.140625" customWidth="1"/>
    <col min="7170" max="7170" width="22" bestFit="1" customWidth="1"/>
    <col min="7171" max="7171" width="33.5703125" customWidth="1"/>
    <col min="7172" max="7172" width="10.5703125" customWidth="1"/>
    <col min="7173" max="7173" width="15.42578125" customWidth="1"/>
    <col min="7174" max="7174" width="12.5703125" customWidth="1"/>
    <col min="7175" max="7175" width="15.5703125" customWidth="1"/>
    <col min="7176" max="7176" width="15.42578125" customWidth="1"/>
    <col min="7177" max="7177" width="7.42578125" bestFit="1" customWidth="1"/>
    <col min="7178" max="7178" width="32" bestFit="1" customWidth="1"/>
    <col min="7179" max="7179" width="30.140625" bestFit="1" customWidth="1"/>
    <col min="7180" max="7180" width="12" bestFit="1" customWidth="1"/>
    <col min="7181" max="7181" width="12.42578125" bestFit="1" customWidth="1"/>
    <col min="7182" max="7182" width="11.140625" customWidth="1"/>
    <col min="7183" max="7183" width="12.140625" customWidth="1"/>
    <col min="7426" max="7426" width="22" bestFit="1" customWidth="1"/>
    <col min="7427" max="7427" width="33.5703125" customWidth="1"/>
    <col min="7428" max="7428" width="10.5703125" customWidth="1"/>
    <col min="7429" max="7429" width="15.42578125" customWidth="1"/>
    <col min="7430" max="7430" width="12.5703125" customWidth="1"/>
    <col min="7431" max="7431" width="15.5703125" customWidth="1"/>
    <col min="7432" max="7432" width="15.42578125" customWidth="1"/>
    <col min="7433" max="7433" width="7.42578125" bestFit="1" customWidth="1"/>
    <col min="7434" max="7434" width="32" bestFit="1" customWidth="1"/>
    <col min="7435" max="7435" width="30.140625" bestFit="1" customWidth="1"/>
    <col min="7436" max="7436" width="12" bestFit="1" customWidth="1"/>
    <col min="7437" max="7437" width="12.42578125" bestFit="1" customWidth="1"/>
    <col min="7438" max="7438" width="11.140625" customWidth="1"/>
    <col min="7439" max="7439" width="12.140625" customWidth="1"/>
    <col min="7682" max="7682" width="22" bestFit="1" customWidth="1"/>
    <col min="7683" max="7683" width="33.5703125" customWidth="1"/>
    <col min="7684" max="7684" width="10.5703125" customWidth="1"/>
    <col min="7685" max="7685" width="15.42578125" customWidth="1"/>
    <col min="7686" max="7686" width="12.5703125" customWidth="1"/>
    <col min="7687" max="7687" width="15.5703125" customWidth="1"/>
    <col min="7688" max="7688" width="15.42578125" customWidth="1"/>
    <col min="7689" max="7689" width="7.42578125" bestFit="1" customWidth="1"/>
    <col min="7690" max="7690" width="32" bestFit="1" customWidth="1"/>
    <col min="7691" max="7691" width="30.140625" bestFit="1" customWidth="1"/>
    <col min="7692" max="7692" width="12" bestFit="1" customWidth="1"/>
    <col min="7693" max="7693" width="12.42578125" bestFit="1" customWidth="1"/>
    <col min="7694" max="7694" width="11.140625" customWidth="1"/>
    <col min="7695" max="7695" width="12.140625" customWidth="1"/>
    <col min="7938" max="7938" width="22" bestFit="1" customWidth="1"/>
    <col min="7939" max="7939" width="33.5703125" customWidth="1"/>
    <col min="7940" max="7940" width="10.5703125" customWidth="1"/>
    <col min="7941" max="7941" width="15.42578125" customWidth="1"/>
    <col min="7942" max="7942" width="12.5703125" customWidth="1"/>
    <col min="7943" max="7943" width="15.5703125" customWidth="1"/>
    <col min="7944" max="7944" width="15.42578125" customWidth="1"/>
    <col min="7945" max="7945" width="7.42578125" bestFit="1" customWidth="1"/>
    <col min="7946" max="7946" width="32" bestFit="1" customWidth="1"/>
    <col min="7947" max="7947" width="30.140625" bestFit="1" customWidth="1"/>
    <col min="7948" max="7948" width="12" bestFit="1" customWidth="1"/>
    <col min="7949" max="7949" width="12.42578125" bestFit="1" customWidth="1"/>
    <col min="7950" max="7950" width="11.140625" customWidth="1"/>
    <col min="7951" max="7951" width="12.140625" customWidth="1"/>
    <col min="8194" max="8194" width="22" bestFit="1" customWidth="1"/>
    <col min="8195" max="8195" width="33.5703125" customWidth="1"/>
    <col min="8196" max="8196" width="10.5703125" customWidth="1"/>
    <col min="8197" max="8197" width="15.42578125" customWidth="1"/>
    <col min="8198" max="8198" width="12.5703125" customWidth="1"/>
    <col min="8199" max="8199" width="15.5703125" customWidth="1"/>
    <col min="8200" max="8200" width="15.42578125" customWidth="1"/>
    <col min="8201" max="8201" width="7.42578125" bestFit="1" customWidth="1"/>
    <col min="8202" max="8202" width="32" bestFit="1" customWidth="1"/>
    <col min="8203" max="8203" width="30.140625" bestFit="1" customWidth="1"/>
    <col min="8204" max="8204" width="12" bestFit="1" customWidth="1"/>
    <col min="8205" max="8205" width="12.42578125" bestFit="1" customWidth="1"/>
    <col min="8206" max="8206" width="11.140625" customWidth="1"/>
    <col min="8207" max="8207" width="12.140625" customWidth="1"/>
    <col min="8450" max="8450" width="22" bestFit="1" customWidth="1"/>
    <col min="8451" max="8451" width="33.5703125" customWidth="1"/>
    <col min="8452" max="8452" width="10.5703125" customWidth="1"/>
    <col min="8453" max="8453" width="15.42578125" customWidth="1"/>
    <col min="8454" max="8454" width="12.5703125" customWidth="1"/>
    <col min="8455" max="8455" width="15.5703125" customWidth="1"/>
    <col min="8456" max="8456" width="15.42578125" customWidth="1"/>
    <col min="8457" max="8457" width="7.42578125" bestFit="1" customWidth="1"/>
    <col min="8458" max="8458" width="32" bestFit="1" customWidth="1"/>
    <col min="8459" max="8459" width="30.140625" bestFit="1" customWidth="1"/>
    <col min="8460" max="8460" width="12" bestFit="1" customWidth="1"/>
    <col min="8461" max="8461" width="12.42578125" bestFit="1" customWidth="1"/>
    <col min="8462" max="8462" width="11.140625" customWidth="1"/>
    <col min="8463" max="8463" width="12.140625" customWidth="1"/>
    <col min="8706" max="8706" width="22" bestFit="1" customWidth="1"/>
    <col min="8707" max="8707" width="33.5703125" customWidth="1"/>
    <col min="8708" max="8708" width="10.5703125" customWidth="1"/>
    <col min="8709" max="8709" width="15.42578125" customWidth="1"/>
    <col min="8710" max="8710" width="12.5703125" customWidth="1"/>
    <col min="8711" max="8711" width="15.5703125" customWidth="1"/>
    <col min="8712" max="8712" width="15.42578125" customWidth="1"/>
    <col min="8713" max="8713" width="7.42578125" bestFit="1" customWidth="1"/>
    <col min="8714" max="8714" width="32" bestFit="1" customWidth="1"/>
    <col min="8715" max="8715" width="30.140625" bestFit="1" customWidth="1"/>
    <col min="8716" max="8716" width="12" bestFit="1" customWidth="1"/>
    <col min="8717" max="8717" width="12.42578125" bestFit="1" customWidth="1"/>
    <col min="8718" max="8718" width="11.140625" customWidth="1"/>
    <col min="8719" max="8719" width="12.140625" customWidth="1"/>
    <col min="8962" max="8962" width="22" bestFit="1" customWidth="1"/>
    <col min="8963" max="8963" width="33.5703125" customWidth="1"/>
    <col min="8964" max="8964" width="10.5703125" customWidth="1"/>
    <col min="8965" max="8965" width="15.42578125" customWidth="1"/>
    <col min="8966" max="8966" width="12.5703125" customWidth="1"/>
    <col min="8967" max="8967" width="15.5703125" customWidth="1"/>
    <col min="8968" max="8968" width="15.42578125" customWidth="1"/>
    <col min="8969" max="8969" width="7.42578125" bestFit="1" customWidth="1"/>
    <col min="8970" max="8970" width="32" bestFit="1" customWidth="1"/>
    <col min="8971" max="8971" width="30.140625" bestFit="1" customWidth="1"/>
    <col min="8972" max="8972" width="12" bestFit="1" customWidth="1"/>
    <col min="8973" max="8973" width="12.42578125" bestFit="1" customWidth="1"/>
    <col min="8974" max="8974" width="11.140625" customWidth="1"/>
    <col min="8975" max="8975" width="12.140625" customWidth="1"/>
    <col min="9218" max="9218" width="22" bestFit="1" customWidth="1"/>
    <col min="9219" max="9219" width="33.5703125" customWidth="1"/>
    <col min="9220" max="9220" width="10.5703125" customWidth="1"/>
    <col min="9221" max="9221" width="15.42578125" customWidth="1"/>
    <col min="9222" max="9222" width="12.5703125" customWidth="1"/>
    <col min="9223" max="9223" width="15.5703125" customWidth="1"/>
    <col min="9224" max="9224" width="15.42578125" customWidth="1"/>
    <col min="9225" max="9225" width="7.42578125" bestFit="1" customWidth="1"/>
    <col min="9226" max="9226" width="32" bestFit="1" customWidth="1"/>
    <col min="9227" max="9227" width="30.140625" bestFit="1" customWidth="1"/>
    <col min="9228" max="9228" width="12" bestFit="1" customWidth="1"/>
    <col min="9229" max="9229" width="12.42578125" bestFit="1" customWidth="1"/>
    <col min="9230" max="9230" width="11.140625" customWidth="1"/>
    <col min="9231" max="9231" width="12.140625" customWidth="1"/>
    <col min="9474" max="9474" width="22" bestFit="1" customWidth="1"/>
    <col min="9475" max="9475" width="33.5703125" customWidth="1"/>
    <col min="9476" max="9476" width="10.5703125" customWidth="1"/>
    <col min="9477" max="9477" width="15.42578125" customWidth="1"/>
    <col min="9478" max="9478" width="12.5703125" customWidth="1"/>
    <col min="9479" max="9479" width="15.5703125" customWidth="1"/>
    <col min="9480" max="9480" width="15.42578125" customWidth="1"/>
    <col min="9481" max="9481" width="7.42578125" bestFit="1" customWidth="1"/>
    <col min="9482" max="9482" width="32" bestFit="1" customWidth="1"/>
    <col min="9483" max="9483" width="30.140625" bestFit="1" customWidth="1"/>
    <col min="9484" max="9484" width="12" bestFit="1" customWidth="1"/>
    <col min="9485" max="9485" width="12.42578125" bestFit="1" customWidth="1"/>
    <col min="9486" max="9486" width="11.140625" customWidth="1"/>
    <col min="9487" max="9487" width="12.140625" customWidth="1"/>
    <col min="9730" max="9730" width="22" bestFit="1" customWidth="1"/>
    <col min="9731" max="9731" width="33.5703125" customWidth="1"/>
    <col min="9732" max="9732" width="10.5703125" customWidth="1"/>
    <col min="9733" max="9733" width="15.42578125" customWidth="1"/>
    <col min="9734" max="9734" width="12.5703125" customWidth="1"/>
    <col min="9735" max="9735" width="15.5703125" customWidth="1"/>
    <col min="9736" max="9736" width="15.42578125" customWidth="1"/>
    <col min="9737" max="9737" width="7.42578125" bestFit="1" customWidth="1"/>
    <col min="9738" max="9738" width="32" bestFit="1" customWidth="1"/>
    <col min="9739" max="9739" width="30.140625" bestFit="1" customWidth="1"/>
    <col min="9740" max="9740" width="12" bestFit="1" customWidth="1"/>
    <col min="9741" max="9741" width="12.42578125" bestFit="1" customWidth="1"/>
    <col min="9742" max="9742" width="11.140625" customWidth="1"/>
    <col min="9743" max="9743" width="12.140625" customWidth="1"/>
    <col min="9986" max="9986" width="22" bestFit="1" customWidth="1"/>
    <col min="9987" max="9987" width="33.5703125" customWidth="1"/>
    <col min="9988" max="9988" width="10.5703125" customWidth="1"/>
    <col min="9989" max="9989" width="15.42578125" customWidth="1"/>
    <col min="9990" max="9990" width="12.5703125" customWidth="1"/>
    <col min="9991" max="9991" width="15.5703125" customWidth="1"/>
    <col min="9992" max="9992" width="15.42578125" customWidth="1"/>
    <col min="9993" max="9993" width="7.42578125" bestFit="1" customWidth="1"/>
    <col min="9994" max="9994" width="32" bestFit="1" customWidth="1"/>
    <col min="9995" max="9995" width="30.140625" bestFit="1" customWidth="1"/>
    <col min="9996" max="9996" width="12" bestFit="1" customWidth="1"/>
    <col min="9997" max="9997" width="12.42578125" bestFit="1" customWidth="1"/>
    <col min="9998" max="9998" width="11.140625" customWidth="1"/>
    <col min="9999" max="9999" width="12.140625" customWidth="1"/>
    <col min="10242" max="10242" width="22" bestFit="1" customWidth="1"/>
    <col min="10243" max="10243" width="33.5703125" customWidth="1"/>
    <col min="10244" max="10244" width="10.5703125" customWidth="1"/>
    <col min="10245" max="10245" width="15.42578125" customWidth="1"/>
    <col min="10246" max="10246" width="12.5703125" customWidth="1"/>
    <col min="10247" max="10247" width="15.5703125" customWidth="1"/>
    <col min="10248" max="10248" width="15.42578125" customWidth="1"/>
    <col min="10249" max="10249" width="7.42578125" bestFit="1" customWidth="1"/>
    <col min="10250" max="10250" width="32" bestFit="1" customWidth="1"/>
    <col min="10251" max="10251" width="30.140625" bestFit="1" customWidth="1"/>
    <col min="10252" max="10252" width="12" bestFit="1" customWidth="1"/>
    <col min="10253" max="10253" width="12.42578125" bestFit="1" customWidth="1"/>
    <col min="10254" max="10254" width="11.140625" customWidth="1"/>
    <col min="10255" max="10255" width="12.140625" customWidth="1"/>
    <col min="10498" max="10498" width="22" bestFit="1" customWidth="1"/>
    <col min="10499" max="10499" width="33.5703125" customWidth="1"/>
    <col min="10500" max="10500" width="10.5703125" customWidth="1"/>
    <col min="10501" max="10501" width="15.42578125" customWidth="1"/>
    <col min="10502" max="10502" width="12.5703125" customWidth="1"/>
    <col min="10503" max="10503" width="15.5703125" customWidth="1"/>
    <col min="10504" max="10504" width="15.42578125" customWidth="1"/>
    <col min="10505" max="10505" width="7.42578125" bestFit="1" customWidth="1"/>
    <col min="10506" max="10506" width="32" bestFit="1" customWidth="1"/>
    <col min="10507" max="10507" width="30.140625" bestFit="1" customWidth="1"/>
    <col min="10508" max="10508" width="12" bestFit="1" customWidth="1"/>
    <col min="10509" max="10509" width="12.42578125" bestFit="1" customWidth="1"/>
    <col min="10510" max="10510" width="11.140625" customWidth="1"/>
    <col min="10511" max="10511" width="12.140625" customWidth="1"/>
    <col min="10754" max="10754" width="22" bestFit="1" customWidth="1"/>
    <col min="10755" max="10755" width="33.5703125" customWidth="1"/>
    <col min="10756" max="10756" width="10.5703125" customWidth="1"/>
    <col min="10757" max="10757" width="15.42578125" customWidth="1"/>
    <col min="10758" max="10758" width="12.5703125" customWidth="1"/>
    <col min="10759" max="10759" width="15.5703125" customWidth="1"/>
    <col min="10760" max="10760" width="15.42578125" customWidth="1"/>
    <col min="10761" max="10761" width="7.42578125" bestFit="1" customWidth="1"/>
    <col min="10762" max="10762" width="32" bestFit="1" customWidth="1"/>
    <col min="10763" max="10763" width="30.140625" bestFit="1" customWidth="1"/>
    <col min="10764" max="10764" width="12" bestFit="1" customWidth="1"/>
    <col min="10765" max="10765" width="12.42578125" bestFit="1" customWidth="1"/>
    <col min="10766" max="10766" width="11.140625" customWidth="1"/>
    <col min="10767" max="10767" width="12.140625" customWidth="1"/>
    <col min="11010" max="11010" width="22" bestFit="1" customWidth="1"/>
    <col min="11011" max="11011" width="33.5703125" customWidth="1"/>
    <col min="11012" max="11012" width="10.5703125" customWidth="1"/>
    <col min="11013" max="11013" width="15.42578125" customWidth="1"/>
    <col min="11014" max="11014" width="12.5703125" customWidth="1"/>
    <col min="11015" max="11015" width="15.5703125" customWidth="1"/>
    <col min="11016" max="11016" width="15.42578125" customWidth="1"/>
    <col min="11017" max="11017" width="7.42578125" bestFit="1" customWidth="1"/>
    <col min="11018" max="11018" width="32" bestFit="1" customWidth="1"/>
    <col min="11019" max="11019" width="30.140625" bestFit="1" customWidth="1"/>
    <col min="11020" max="11020" width="12" bestFit="1" customWidth="1"/>
    <col min="11021" max="11021" width="12.42578125" bestFit="1" customWidth="1"/>
    <col min="11022" max="11022" width="11.140625" customWidth="1"/>
    <col min="11023" max="11023" width="12.140625" customWidth="1"/>
    <col min="11266" max="11266" width="22" bestFit="1" customWidth="1"/>
    <col min="11267" max="11267" width="33.5703125" customWidth="1"/>
    <col min="11268" max="11268" width="10.5703125" customWidth="1"/>
    <col min="11269" max="11269" width="15.42578125" customWidth="1"/>
    <col min="11270" max="11270" width="12.5703125" customWidth="1"/>
    <col min="11271" max="11271" width="15.5703125" customWidth="1"/>
    <col min="11272" max="11272" width="15.42578125" customWidth="1"/>
    <col min="11273" max="11273" width="7.42578125" bestFit="1" customWidth="1"/>
    <col min="11274" max="11274" width="32" bestFit="1" customWidth="1"/>
    <col min="11275" max="11275" width="30.140625" bestFit="1" customWidth="1"/>
    <col min="11276" max="11276" width="12" bestFit="1" customWidth="1"/>
    <col min="11277" max="11277" width="12.42578125" bestFit="1" customWidth="1"/>
    <col min="11278" max="11278" width="11.140625" customWidth="1"/>
    <col min="11279" max="11279" width="12.140625" customWidth="1"/>
    <col min="11522" max="11522" width="22" bestFit="1" customWidth="1"/>
    <col min="11523" max="11523" width="33.5703125" customWidth="1"/>
    <col min="11524" max="11524" width="10.5703125" customWidth="1"/>
    <col min="11525" max="11525" width="15.42578125" customWidth="1"/>
    <col min="11526" max="11526" width="12.5703125" customWidth="1"/>
    <col min="11527" max="11527" width="15.5703125" customWidth="1"/>
    <col min="11528" max="11528" width="15.42578125" customWidth="1"/>
    <col min="11529" max="11529" width="7.42578125" bestFit="1" customWidth="1"/>
    <col min="11530" max="11530" width="32" bestFit="1" customWidth="1"/>
    <col min="11531" max="11531" width="30.140625" bestFit="1" customWidth="1"/>
    <col min="11532" max="11532" width="12" bestFit="1" customWidth="1"/>
    <col min="11533" max="11533" width="12.42578125" bestFit="1" customWidth="1"/>
    <col min="11534" max="11534" width="11.140625" customWidth="1"/>
    <col min="11535" max="11535" width="12.140625" customWidth="1"/>
    <col min="11778" max="11778" width="22" bestFit="1" customWidth="1"/>
    <col min="11779" max="11779" width="33.5703125" customWidth="1"/>
    <col min="11780" max="11780" width="10.5703125" customWidth="1"/>
    <col min="11781" max="11781" width="15.42578125" customWidth="1"/>
    <col min="11782" max="11782" width="12.5703125" customWidth="1"/>
    <col min="11783" max="11783" width="15.5703125" customWidth="1"/>
    <col min="11784" max="11784" width="15.42578125" customWidth="1"/>
    <col min="11785" max="11785" width="7.42578125" bestFit="1" customWidth="1"/>
    <col min="11786" max="11786" width="32" bestFit="1" customWidth="1"/>
    <col min="11787" max="11787" width="30.140625" bestFit="1" customWidth="1"/>
    <col min="11788" max="11788" width="12" bestFit="1" customWidth="1"/>
    <col min="11789" max="11789" width="12.42578125" bestFit="1" customWidth="1"/>
    <col min="11790" max="11790" width="11.140625" customWidth="1"/>
    <col min="11791" max="11791" width="12.140625" customWidth="1"/>
    <col min="12034" max="12034" width="22" bestFit="1" customWidth="1"/>
    <col min="12035" max="12035" width="33.5703125" customWidth="1"/>
    <col min="12036" max="12036" width="10.5703125" customWidth="1"/>
    <col min="12037" max="12037" width="15.42578125" customWidth="1"/>
    <col min="12038" max="12038" width="12.5703125" customWidth="1"/>
    <col min="12039" max="12039" width="15.5703125" customWidth="1"/>
    <col min="12040" max="12040" width="15.42578125" customWidth="1"/>
    <col min="12041" max="12041" width="7.42578125" bestFit="1" customWidth="1"/>
    <col min="12042" max="12042" width="32" bestFit="1" customWidth="1"/>
    <col min="12043" max="12043" width="30.140625" bestFit="1" customWidth="1"/>
    <col min="12044" max="12044" width="12" bestFit="1" customWidth="1"/>
    <col min="12045" max="12045" width="12.42578125" bestFit="1" customWidth="1"/>
    <col min="12046" max="12046" width="11.140625" customWidth="1"/>
    <col min="12047" max="12047" width="12.140625" customWidth="1"/>
    <col min="12290" max="12290" width="22" bestFit="1" customWidth="1"/>
    <col min="12291" max="12291" width="33.5703125" customWidth="1"/>
    <col min="12292" max="12292" width="10.5703125" customWidth="1"/>
    <col min="12293" max="12293" width="15.42578125" customWidth="1"/>
    <col min="12294" max="12294" width="12.5703125" customWidth="1"/>
    <col min="12295" max="12295" width="15.5703125" customWidth="1"/>
    <col min="12296" max="12296" width="15.42578125" customWidth="1"/>
    <col min="12297" max="12297" width="7.42578125" bestFit="1" customWidth="1"/>
    <col min="12298" max="12298" width="32" bestFit="1" customWidth="1"/>
    <col min="12299" max="12299" width="30.140625" bestFit="1" customWidth="1"/>
    <col min="12300" max="12300" width="12" bestFit="1" customWidth="1"/>
    <col min="12301" max="12301" width="12.42578125" bestFit="1" customWidth="1"/>
    <col min="12302" max="12302" width="11.140625" customWidth="1"/>
    <col min="12303" max="12303" width="12.140625" customWidth="1"/>
    <col min="12546" max="12546" width="22" bestFit="1" customWidth="1"/>
    <col min="12547" max="12547" width="33.5703125" customWidth="1"/>
    <col min="12548" max="12548" width="10.5703125" customWidth="1"/>
    <col min="12549" max="12549" width="15.42578125" customWidth="1"/>
    <col min="12550" max="12550" width="12.5703125" customWidth="1"/>
    <col min="12551" max="12551" width="15.5703125" customWidth="1"/>
    <col min="12552" max="12552" width="15.42578125" customWidth="1"/>
    <col min="12553" max="12553" width="7.42578125" bestFit="1" customWidth="1"/>
    <col min="12554" max="12554" width="32" bestFit="1" customWidth="1"/>
    <col min="12555" max="12555" width="30.140625" bestFit="1" customWidth="1"/>
    <col min="12556" max="12556" width="12" bestFit="1" customWidth="1"/>
    <col min="12557" max="12557" width="12.42578125" bestFit="1" customWidth="1"/>
    <col min="12558" max="12558" width="11.140625" customWidth="1"/>
    <col min="12559" max="12559" width="12.140625" customWidth="1"/>
    <col min="12802" max="12802" width="22" bestFit="1" customWidth="1"/>
    <col min="12803" max="12803" width="33.5703125" customWidth="1"/>
    <col min="12804" max="12804" width="10.5703125" customWidth="1"/>
    <col min="12805" max="12805" width="15.42578125" customWidth="1"/>
    <col min="12806" max="12806" width="12.5703125" customWidth="1"/>
    <col min="12807" max="12807" width="15.5703125" customWidth="1"/>
    <col min="12808" max="12808" width="15.42578125" customWidth="1"/>
    <col min="12809" max="12809" width="7.42578125" bestFit="1" customWidth="1"/>
    <col min="12810" max="12810" width="32" bestFit="1" customWidth="1"/>
    <col min="12811" max="12811" width="30.140625" bestFit="1" customWidth="1"/>
    <col min="12812" max="12812" width="12" bestFit="1" customWidth="1"/>
    <col min="12813" max="12813" width="12.42578125" bestFit="1" customWidth="1"/>
    <col min="12814" max="12814" width="11.140625" customWidth="1"/>
    <col min="12815" max="12815" width="12.140625" customWidth="1"/>
    <col min="13058" max="13058" width="22" bestFit="1" customWidth="1"/>
    <col min="13059" max="13059" width="33.5703125" customWidth="1"/>
    <col min="13060" max="13060" width="10.5703125" customWidth="1"/>
    <col min="13061" max="13061" width="15.42578125" customWidth="1"/>
    <col min="13062" max="13062" width="12.5703125" customWidth="1"/>
    <col min="13063" max="13063" width="15.5703125" customWidth="1"/>
    <col min="13064" max="13064" width="15.42578125" customWidth="1"/>
    <col min="13065" max="13065" width="7.42578125" bestFit="1" customWidth="1"/>
    <col min="13066" max="13066" width="32" bestFit="1" customWidth="1"/>
    <col min="13067" max="13067" width="30.140625" bestFit="1" customWidth="1"/>
    <col min="13068" max="13068" width="12" bestFit="1" customWidth="1"/>
    <col min="13069" max="13069" width="12.42578125" bestFit="1" customWidth="1"/>
    <col min="13070" max="13070" width="11.140625" customWidth="1"/>
    <col min="13071" max="13071" width="12.140625" customWidth="1"/>
    <col min="13314" max="13314" width="22" bestFit="1" customWidth="1"/>
    <col min="13315" max="13315" width="33.5703125" customWidth="1"/>
    <col min="13316" max="13316" width="10.5703125" customWidth="1"/>
    <col min="13317" max="13317" width="15.42578125" customWidth="1"/>
    <col min="13318" max="13318" width="12.5703125" customWidth="1"/>
    <col min="13319" max="13319" width="15.5703125" customWidth="1"/>
    <col min="13320" max="13320" width="15.42578125" customWidth="1"/>
    <col min="13321" max="13321" width="7.42578125" bestFit="1" customWidth="1"/>
    <col min="13322" max="13322" width="32" bestFit="1" customWidth="1"/>
    <col min="13323" max="13323" width="30.140625" bestFit="1" customWidth="1"/>
    <col min="13324" max="13324" width="12" bestFit="1" customWidth="1"/>
    <col min="13325" max="13325" width="12.42578125" bestFit="1" customWidth="1"/>
    <col min="13326" max="13326" width="11.140625" customWidth="1"/>
    <col min="13327" max="13327" width="12.140625" customWidth="1"/>
    <col min="13570" max="13570" width="22" bestFit="1" customWidth="1"/>
    <col min="13571" max="13571" width="33.5703125" customWidth="1"/>
    <col min="13572" max="13572" width="10.5703125" customWidth="1"/>
    <col min="13573" max="13573" width="15.42578125" customWidth="1"/>
    <col min="13574" max="13574" width="12.5703125" customWidth="1"/>
    <col min="13575" max="13575" width="15.5703125" customWidth="1"/>
    <col min="13576" max="13576" width="15.42578125" customWidth="1"/>
    <col min="13577" max="13577" width="7.42578125" bestFit="1" customWidth="1"/>
    <col min="13578" max="13578" width="32" bestFit="1" customWidth="1"/>
    <col min="13579" max="13579" width="30.140625" bestFit="1" customWidth="1"/>
    <col min="13580" max="13580" width="12" bestFit="1" customWidth="1"/>
    <col min="13581" max="13581" width="12.42578125" bestFit="1" customWidth="1"/>
    <col min="13582" max="13582" width="11.140625" customWidth="1"/>
    <col min="13583" max="13583" width="12.140625" customWidth="1"/>
    <col min="13826" max="13826" width="22" bestFit="1" customWidth="1"/>
    <col min="13827" max="13827" width="33.5703125" customWidth="1"/>
    <col min="13828" max="13828" width="10.5703125" customWidth="1"/>
    <col min="13829" max="13829" width="15.42578125" customWidth="1"/>
    <col min="13830" max="13830" width="12.5703125" customWidth="1"/>
    <col min="13831" max="13831" width="15.5703125" customWidth="1"/>
    <col min="13832" max="13832" width="15.42578125" customWidth="1"/>
    <col min="13833" max="13833" width="7.42578125" bestFit="1" customWidth="1"/>
    <col min="13834" max="13834" width="32" bestFit="1" customWidth="1"/>
    <col min="13835" max="13835" width="30.140625" bestFit="1" customWidth="1"/>
    <col min="13836" max="13836" width="12" bestFit="1" customWidth="1"/>
    <col min="13837" max="13837" width="12.42578125" bestFit="1" customWidth="1"/>
    <col min="13838" max="13838" width="11.140625" customWidth="1"/>
    <col min="13839" max="13839" width="12.140625" customWidth="1"/>
    <col min="14082" max="14082" width="22" bestFit="1" customWidth="1"/>
    <col min="14083" max="14083" width="33.5703125" customWidth="1"/>
    <col min="14084" max="14084" width="10.5703125" customWidth="1"/>
    <col min="14085" max="14085" width="15.42578125" customWidth="1"/>
    <col min="14086" max="14086" width="12.5703125" customWidth="1"/>
    <col min="14087" max="14087" width="15.5703125" customWidth="1"/>
    <col min="14088" max="14088" width="15.42578125" customWidth="1"/>
    <col min="14089" max="14089" width="7.42578125" bestFit="1" customWidth="1"/>
    <col min="14090" max="14090" width="32" bestFit="1" customWidth="1"/>
    <col min="14091" max="14091" width="30.140625" bestFit="1" customWidth="1"/>
    <col min="14092" max="14092" width="12" bestFit="1" customWidth="1"/>
    <col min="14093" max="14093" width="12.42578125" bestFit="1" customWidth="1"/>
    <col min="14094" max="14094" width="11.140625" customWidth="1"/>
    <col min="14095" max="14095" width="12.140625" customWidth="1"/>
    <col min="14338" max="14338" width="22" bestFit="1" customWidth="1"/>
    <col min="14339" max="14339" width="33.5703125" customWidth="1"/>
    <col min="14340" max="14340" width="10.5703125" customWidth="1"/>
    <col min="14341" max="14341" width="15.42578125" customWidth="1"/>
    <col min="14342" max="14342" width="12.5703125" customWidth="1"/>
    <col min="14343" max="14343" width="15.5703125" customWidth="1"/>
    <col min="14344" max="14344" width="15.42578125" customWidth="1"/>
    <col min="14345" max="14345" width="7.42578125" bestFit="1" customWidth="1"/>
    <col min="14346" max="14346" width="32" bestFit="1" customWidth="1"/>
    <col min="14347" max="14347" width="30.140625" bestFit="1" customWidth="1"/>
    <col min="14348" max="14348" width="12" bestFit="1" customWidth="1"/>
    <col min="14349" max="14349" width="12.42578125" bestFit="1" customWidth="1"/>
    <col min="14350" max="14350" width="11.140625" customWidth="1"/>
    <col min="14351" max="14351" width="12.140625" customWidth="1"/>
    <col min="14594" max="14594" width="22" bestFit="1" customWidth="1"/>
    <col min="14595" max="14595" width="33.5703125" customWidth="1"/>
    <col min="14596" max="14596" width="10.5703125" customWidth="1"/>
    <col min="14597" max="14597" width="15.42578125" customWidth="1"/>
    <col min="14598" max="14598" width="12.5703125" customWidth="1"/>
    <col min="14599" max="14599" width="15.5703125" customWidth="1"/>
    <col min="14600" max="14600" width="15.42578125" customWidth="1"/>
    <col min="14601" max="14601" width="7.42578125" bestFit="1" customWidth="1"/>
    <col min="14602" max="14602" width="32" bestFit="1" customWidth="1"/>
    <col min="14603" max="14603" width="30.140625" bestFit="1" customWidth="1"/>
    <col min="14604" max="14604" width="12" bestFit="1" customWidth="1"/>
    <col min="14605" max="14605" width="12.42578125" bestFit="1" customWidth="1"/>
    <col min="14606" max="14606" width="11.140625" customWidth="1"/>
    <col min="14607" max="14607" width="12.140625" customWidth="1"/>
    <col min="14850" max="14850" width="22" bestFit="1" customWidth="1"/>
    <col min="14851" max="14851" width="33.5703125" customWidth="1"/>
    <col min="14852" max="14852" width="10.5703125" customWidth="1"/>
    <col min="14853" max="14853" width="15.42578125" customWidth="1"/>
    <col min="14854" max="14854" width="12.5703125" customWidth="1"/>
    <col min="14855" max="14855" width="15.5703125" customWidth="1"/>
    <col min="14856" max="14856" width="15.42578125" customWidth="1"/>
    <col min="14857" max="14857" width="7.42578125" bestFit="1" customWidth="1"/>
    <col min="14858" max="14858" width="32" bestFit="1" customWidth="1"/>
    <col min="14859" max="14859" width="30.140625" bestFit="1" customWidth="1"/>
    <col min="14860" max="14860" width="12" bestFit="1" customWidth="1"/>
    <col min="14861" max="14861" width="12.42578125" bestFit="1" customWidth="1"/>
    <col min="14862" max="14862" width="11.140625" customWidth="1"/>
    <col min="14863" max="14863" width="12.140625" customWidth="1"/>
    <col min="15106" max="15106" width="22" bestFit="1" customWidth="1"/>
    <col min="15107" max="15107" width="33.5703125" customWidth="1"/>
    <col min="15108" max="15108" width="10.5703125" customWidth="1"/>
    <col min="15109" max="15109" width="15.42578125" customWidth="1"/>
    <col min="15110" max="15110" width="12.5703125" customWidth="1"/>
    <col min="15111" max="15111" width="15.5703125" customWidth="1"/>
    <col min="15112" max="15112" width="15.42578125" customWidth="1"/>
    <col min="15113" max="15113" width="7.42578125" bestFit="1" customWidth="1"/>
    <col min="15114" max="15114" width="32" bestFit="1" customWidth="1"/>
    <col min="15115" max="15115" width="30.140625" bestFit="1" customWidth="1"/>
    <col min="15116" max="15116" width="12" bestFit="1" customWidth="1"/>
    <col min="15117" max="15117" width="12.42578125" bestFit="1" customWidth="1"/>
    <col min="15118" max="15118" width="11.140625" customWidth="1"/>
    <col min="15119" max="15119" width="12.140625" customWidth="1"/>
    <col min="15362" max="15362" width="22" bestFit="1" customWidth="1"/>
    <col min="15363" max="15363" width="33.5703125" customWidth="1"/>
    <col min="15364" max="15364" width="10.5703125" customWidth="1"/>
    <col min="15365" max="15365" width="15.42578125" customWidth="1"/>
    <col min="15366" max="15366" width="12.5703125" customWidth="1"/>
    <col min="15367" max="15367" width="15.5703125" customWidth="1"/>
    <col min="15368" max="15368" width="15.42578125" customWidth="1"/>
    <col min="15369" max="15369" width="7.42578125" bestFit="1" customWidth="1"/>
    <col min="15370" max="15370" width="32" bestFit="1" customWidth="1"/>
    <col min="15371" max="15371" width="30.140625" bestFit="1" customWidth="1"/>
    <col min="15372" max="15372" width="12" bestFit="1" customWidth="1"/>
    <col min="15373" max="15373" width="12.42578125" bestFit="1" customWidth="1"/>
    <col min="15374" max="15374" width="11.140625" customWidth="1"/>
    <col min="15375" max="15375" width="12.140625" customWidth="1"/>
    <col min="15618" max="15618" width="22" bestFit="1" customWidth="1"/>
    <col min="15619" max="15619" width="33.5703125" customWidth="1"/>
    <col min="15620" max="15620" width="10.5703125" customWidth="1"/>
    <col min="15621" max="15621" width="15.42578125" customWidth="1"/>
    <col min="15622" max="15622" width="12.5703125" customWidth="1"/>
    <col min="15623" max="15623" width="15.5703125" customWidth="1"/>
    <col min="15624" max="15624" width="15.42578125" customWidth="1"/>
    <col min="15625" max="15625" width="7.42578125" bestFit="1" customWidth="1"/>
    <col min="15626" max="15626" width="32" bestFit="1" customWidth="1"/>
    <col min="15627" max="15627" width="30.140625" bestFit="1" customWidth="1"/>
    <col min="15628" max="15628" width="12" bestFit="1" customWidth="1"/>
    <col min="15629" max="15629" width="12.42578125" bestFit="1" customWidth="1"/>
    <col min="15630" max="15630" width="11.140625" customWidth="1"/>
    <col min="15631" max="15631" width="12.140625" customWidth="1"/>
    <col min="15874" max="15874" width="22" bestFit="1" customWidth="1"/>
    <col min="15875" max="15875" width="33.5703125" customWidth="1"/>
    <col min="15876" max="15876" width="10.5703125" customWidth="1"/>
    <col min="15877" max="15877" width="15.42578125" customWidth="1"/>
    <col min="15878" max="15878" width="12.5703125" customWidth="1"/>
    <col min="15879" max="15879" width="15.5703125" customWidth="1"/>
    <col min="15880" max="15880" width="15.42578125" customWidth="1"/>
    <col min="15881" max="15881" width="7.42578125" bestFit="1" customWidth="1"/>
    <col min="15882" max="15882" width="32" bestFit="1" customWidth="1"/>
    <col min="15883" max="15883" width="30.140625" bestFit="1" customWidth="1"/>
    <col min="15884" max="15884" width="12" bestFit="1" customWidth="1"/>
    <col min="15885" max="15885" width="12.42578125" bestFit="1" customWidth="1"/>
    <col min="15886" max="15886" width="11.140625" customWidth="1"/>
    <col min="15887" max="15887" width="12.140625" customWidth="1"/>
    <col min="16130" max="16130" width="22" bestFit="1" customWidth="1"/>
    <col min="16131" max="16131" width="33.5703125" customWidth="1"/>
    <col min="16132" max="16132" width="10.5703125" customWidth="1"/>
    <col min="16133" max="16133" width="15.42578125" customWidth="1"/>
    <col min="16134" max="16134" width="12.5703125" customWidth="1"/>
    <col min="16135" max="16135" width="15.5703125" customWidth="1"/>
    <col min="16136" max="16136" width="15.42578125" customWidth="1"/>
    <col min="16137" max="16137" width="7.42578125" bestFit="1" customWidth="1"/>
    <col min="16138" max="16138" width="32" bestFit="1" customWidth="1"/>
    <col min="16139" max="16139" width="30.140625" bestFit="1" customWidth="1"/>
    <col min="16140" max="16140" width="12" bestFit="1" customWidth="1"/>
    <col min="16141" max="16141" width="12.42578125" bestFit="1" customWidth="1"/>
    <col min="16142" max="16142" width="11.140625" customWidth="1"/>
    <col min="16143" max="16143" width="12.140625" customWidth="1"/>
  </cols>
  <sheetData>
    <row r="1" spans="1:74" s="1" customFormat="1">
      <c r="K1" s="91"/>
    </row>
    <row r="2" spans="1:74" s="1" customFormat="1">
      <c r="I2" s="65" t="s">
        <v>160</v>
      </c>
      <c r="J2" s="289">
        <v>0.2</v>
      </c>
      <c r="K2" s="91"/>
    </row>
    <row r="3" spans="1:74" s="1" customFormat="1">
      <c r="K3" s="91"/>
    </row>
    <row r="4" spans="1:74" s="1" customFormat="1" ht="29.45" customHeight="1">
      <c r="B4" s="287" t="s">
        <v>161</v>
      </c>
      <c r="C4" s="287"/>
      <c r="K4" s="91"/>
    </row>
    <row r="5" spans="1:74" ht="26.45" customHeight="1">
      <c r="A5" s="41" t="s">
        <v>162</v>
      </c>
      <c r="B5" s="41" t="s">
        <v>163</v>
      </c>
      <c r="C5" s="66" t="s">
        <v>164</v>
      </c>
      <c r="D5" s="67" t="s">
        <v>165</v>
      </c>
      <c r="E5" s="68" t="s">
        <v>166</v>
      </c>
      <c r="F5" s="69" t="s">
        <v>167</v>
      </c>
      <c r="G5" s="41"/>
      <c r="H5" s="41"/>
      <c r="I5" s="69" t="s">
        <v>168</v>
      </c>
      <c r="J5" s="66" t="s">
        <v>169</v>
      </c>
      <c r="K5" s="91"/>
      <c r="M5" s="1"/>
      <c r="N5" s="394" t="s">
        <v>296</v>
      </c>
      <c r="O5" s="394" t="s">
        <v>297</v>
      </c>
      <c r="P5" s="395" t="s">
        <v>298</v>
      </c>
      <c r="Q5" s="395" t="s">
        <v>299</v>
      </c>
      <c r="R5" s="395" t="s">
        <v>1055</v>
      </c>
      <c r="S5" s="396" t="s">
        <v>300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74" ht="23.45" customHeight="1">
      <c r="A6" s="533" t="s">
        <v>170</v>
      </c>
      <c r="B6" s="529" t="s">
        <v>171</v>
      </c>
      <c r="C6" s="70" t="s">
        <v>172</v>
      </c>
      <c r="D6" s="71">
        <v>1.645</v>
      </c>
      <c r="E6" s="290">
        <f>'Database - main figures'!B9</f>
        <v>35142</v>
      </c>
      <c r="F6" s="291">
        <v>0.9</v>
      </c>
      <c r="G6" s="41"/>
      <c r="H6" s="88"/>
      <c r="I6" s="293">
        <f>ROUNDUP((D6*D6*E6*F6*(1-F6))/(((E6-1)*0.1*0.1*F6*F6)+D6*D6*F6*(1-F6)),0)</f>
        <v>31</v>
      </c>
      <c r="J6" s="293">
        <f>ROUNDUP(I6+I6*$J$2,0)</f>
        <v>38</v>
      </c>
      <c r="K6" s="91"/>
      <c r="L6" s="1"/>
      <c r="M6" s="1"/>
      <c r="N6" s="397">
        <v>2018</v>
      </c>
      <c r="O6" s="401">
        <f>E6</f>
        <v>35142</v>
      </c>
      <c r="P6" s="398">
        <f>I8</f>
        <v>48</v>
      </c>
      <c r="Q6" s="398">
        <f>J8</f>
        <v>58</v>
      </c>
      <c r="R6" s="398">
        <f>+'MP5 Monitoring surveys'!D216</f>
        <v>67</v>
      </c>
      <c r="S6" s="399" t="s">
        <v>301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74" ht="24" customHeight="1" thickBot="1">
      <c r="A7" s="534"/>
      <c r="B7" s="530"/>
      <c r="C7" s="73" t="s">
        <v>173</v>
      </c>
      <c r="D7" s="74">
        <v>1.96</v>
      </c>
      <c r="E7" s="290" t="s">
        <v>67</v>
      </c>
      <c r="F7" s="291" t="s">
        <v>67</v>
      </c>
      <c r="G7" s="44"/>
      <c r="H7" s="88"/>
      <c r="I7" s="293" t="s">
        <v>67</v>
      </c>
      <c r="J7" s="293" t="s">
        <v>67</v>
      </c>
      <c r="K7" s="91"/>
      <c r="L7" s="1"/>
      <c r="M7" s="1"/>
      <c r="N7" s="397">
        <v>2019</v>
      </c>
      <c r="O7" s="400">
        <f>E16</f>
        <v>69872</v>
      </c>
      <c r="P7" s="398">
        <f>I18</f>
        <v>48</v>
      </c>
      <c r="Q7" s="398">
        <f>J18</f>
        <v>58</v>
      </c>
      <c r="R7" s="398">
        <f>+'MP5 Monitoring surveys'!D217</f>
        <v>73</v>
      </c>
      <c r="S7" s="399" t="s">
        <v>302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74" s="78" customFormat="1" ht="17.45" customHeight="1" thickBot="1">
      <c r="A8" s="536" t="s">
        <v>174</v>
      </c>
      <c r="B8" s="529" t="s">
        <v>175</v>
      </c>
      <c r="C8" s="75" t="s">
        <v>172</v>
      </c>
      <c r="D8" s="76">
        <v>1.645</v>
      </c>
      <c r="E8" s="392">
        <f>'Database - main figures'!B9</f>
        <v>35142</v>
      </c>
      <c r="F8" s="393">
        <v>0.85</v>
      </c>
      <c r="G8" s="41"/>
      <c r="H8" s="88"/>
      <c r="I8" s="295">
        <f>ROUNDUP((D8*D8*E8*F8*(1-F8))/(((E8-1)*0.1*0.1*F8*F8)+10*D8*F8*(1-F8)),0)</f>
        <v>48</v>
      </c>
      <c r="J8" s="296">
        <f>ROUNDUP(I8+I8*$J$2,0)</f>
        <v>58</v>
      </c>
      <c r="K8" s="91"/>
      <c r="L8" s="381"/>
      <c r="M8" s="382"/>
      <c r="N8" s="397">
        <v>2020</v>
      </c>
      <c r="O8" s="400">
        <f>E26</f>
        <v>98446</v>
      </c>
      <c r="P8" s="398">
        <f>I28</f>
        <v>48</v>
      </c>
      <c r="Q8" s="398">
        <f>J28</f>
        <v>58</v>
      </c>
      <c r="R8" s="398">
        <f>+'MP5 Monitoring surveys'!D218</f>
        <v>70</v>
      </c>
      <c r="S8" s="399" t="s">
        <v>303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/>
      <c r="BJ8"/>
      <c r="BK8"/>
      <c r="BL8"/>
      <c r="BM8"/>
      <c r="BN8"/>
      <c r="BO8"/>
      <c r="BP8"/>
      <c r="BQ8"/>
      <c r="BR8"/>
      <c r="BS8"/>
      <c r="BT8"/>
      <c r="BU8"/>
      <c r="BV8"/>
    </row>
    <row r="9" spans="1:74" s="82" customFormat="1" ht="18" customHeight="1" thickBot="1">
      <c r="A9" s="537"/>
      <c r="B9" s="530"/>
      <c r="C9" s="79" t="s">
        <v>173</v>
      </c>
      <c r="D9" s="80">
        <v>1.96</v>
      </c>
      <c r="E9" s="292" t="str">
        <f>E7</f>
        <v>-</v>
      </c>
      <c r="F9" s="291" t="s">
        <v>67</v>
      </c>
      <c r="G9" s="44"/>
      <c r="H9" s="88"/>
      <c r="I9" s="295" t="s">
        <v>67</v>
      </c>
      <c r="J9" s="296" t="s">
        <v>67</v>
      </c>
      <c r="K9" s="91"/>
      <c r="L9" s="381"/>
      <c r="M9" s="382"/>
      <c r="N9" s="397" t="s">
        <v>68</v>
      </c>
      <c r="O9" s="400">
        <f>SUM(O6:O8)</f>
        <v>203460</v>
      </c>
      <c r="P9" s="400">
        <f t="shared" ref="P9:R9" si="0">SUM(P6:P8)</f>
        <v>144</v>
      </c>
      <c r="Q9" s="400">
        <f t="shared" si="0"/>
        <v>174</v>
      </c>
      <c r="R9" s="400">
        <f t="shared" si="0"/>
        <v>210</v>
      </c>
      <c r="S9" s="39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1:74" ht="29.45" customHeight="1" thickBot="1">
      <c r="A10" s="41"/>
      <c r="B10" s="41" t="s">
        <v>163</v>
      </c>
      <c r="C10" s="66" t="s">
        <v>164</v>
      </c>
      <c r="D10" s="67" t="s">
        <v>165</v>
      </c>
      <c r="E10" s="68" t="s">
        <v>166</v>
      </c>
      <c r="F10" s="69" t="s">
        <v>176</v>
      </c>
      <c r="G10" s="41" t="s">
        <v>177</v>
      </c>
      <c r="H10" s="88" t="s">
        <v>178</v>
      </c>
      <c r="I10" s="450"/>
      <c r="J10" s="450"/>
      <c r="K10" s="91"/>
      <c r="L10" s="381"/>
      <c r="M10" s="38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74" s="78" customFormat="1" ht="18" customHeight="1" thickBot="1">
      <c r="A11" s="533" t="s">
        <v>179</v>
      </c>
      <c r="B11" s="529" t="s">
        <v>180</v>
      </c>
      <c r="C11" s="75" t="s">
        <v>172</v>
      </c>
      <c r="D11" s="76">
        <v>1.645</v>
      </c>
      <c r="E11" s="90">
        <f>E6</f>
        <v>35142</v>
      </c>
      <c r="F11" s="87">
        <v>1.477E-2</v>
      </c>
      <c r="G11" s="83"/>
      <c r="H11" s="84">
        <f>(F11/F12)*(F11/F12)</f>
        <v>2.0923045553127859E-3</v>
      </c>
      <c r="I11" s="295">
        <f>ROUNDUP((D11*D11*E11*H11)/(((E11-1)*0.1*0.1+D11*D11*H11)),0)</f>
        <v>1</v>
      </c>
      <c r="J11" s="296">
        <f>ROUNDUP(I11+I11*$J$2,0)</f>
        <v>2</v>
      </c>
      <c r="K11" s="91"/>
      <c r="L11" s="38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s="82" customFormat="1" ht="18" customHeight="1">
      <c r="A12" s="534"/>
      <c r="B12" s="530"/>
      <c r="C12" s="79" t="s">
        <v>173</v>
      </c>
      <c r="D12" s="80"/>
      <c r="E12" s="81"/>
      <c r="F12" s="81">
        <v>0.32290000000000002</v>
      </c>
      <c r="G12" s="85"/>
      <c r="H12" s="86"/>
      <c r="I12" s="294"/>
      <c r="J12" s="294"/>
      <c r="K12" s="91"/>
      <c r="L12" s="7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ht="18" customHeight="1">
      <c r="A13" s="99"/>
      <c r="B13" s="99"/>
      <c r="C13" s="99"/>
      <c r="D13" s="99"/>
      <c r="E13" s="99"/>
      <c r="F13" s="99"/>
      <c r="G13" s="91"/>
      <c r="H13" s="91"/>
      <c r="I13" s="91"/>
      <c r="J13" s="91"/>
      <c r="K13" s="91"/>
      <c r="L13" s="9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74" s="1" customFormat="1" ht="18.75">
      <c r="B14" s="287" t="s">
        <v>181</v>
      </c>
      <c r="C14" s="288"/>
      <c r="K14" s="91"/>
    </row>
    <row r="15" spans="1:74" ht="29.1" customHeight="1">
      <c r="A15" s="41" t="s">
        <v>162</v>
      </c>
      <c r="B15" s="41" t="s">
        <v>163</v>
      </c>
      <c r="C15" s="66" t="s">
        <v>164</v>
      </c>
      <c r="D15" s="67" t="s">
        <v>165</v>
      </c>
      <c r="E15" s="68" t="s">
        <v>166</v>
      </c>
      <c r="F15" s="69" t="s">
        <v>167</v>
      </c>
      <c r="G15" s="41"/>
      <c r="H15" s="41"/>
      <c r="I15" s="69" t="s">
        <v>168</v>
      </c>
      <c r="J15" s="66" t="s">
        <v>169</v>
      </c>
      <c r="K15" s="91"/>
      <c r="M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74" ht="24" customHeight="1">
      <c r="A16" s="533" t="s">
        <v>170</v>
      </c>
      <c r="B16" s="529" t="s">
        <v>171</v>
      </c>
      <c r="C16" s="70" t="s">
        <v>172</v>
      </c>
      <c r="D16" s="71">
        <v>1.645</v>
      </c>
      <c r="E16" s="240">
        <f>'Database - main figures'!B10</f>
        <v>69872</v>
      </c>
      <c r="F16" s="391">
        <v>0.9</v>
      </c>
      <c r="G16" s="41"/>
      <c r="H16" s="88"/>
      <c r="I16" s="293">
        <f>ROUNDUP((D16*D16*E16*F16*(1-F16))/(((E16-1)*0.1*0.1*F16*F16)+D16*D16*F16*(1-F16)),0)</f>
        <v>31</v>
      </c>
      <c r="J16" s="293">
        <f>ROUNDUP(I16+I16*$J$2,0)</f>
        <v>38</v>
      </c>
      <c r="K16" s="9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74" ht="24" customHeight="1">
      <c r="A17" s="534"/>
      <c r="B17" s="535"/>
      <c r="C17" s="73" t="s">
        <v>173</v>
      </c>
      <c r="D17" s="74">
        <v>1.96</v>
      </c>
      <c r="E17" s="290" t="s">
        <v>67</v>
      </c>
      <c r="F17" s="291" t="s">
        <v>67</v>
      </c>
      <c r="G17" s="44"/>
      <c r="H17" s="88"/>
      <c r="I17" s="293" t="s">
        <v>67</v>
      </c>
      <c r="J17" s="293" t="s">
        <v>67</v>
      </c>
      <c r="K17" s="9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74" s="78" customFormat="1" ht="17.45" customHeight="1" thickBot="1">
      <c r="A18" s="536" t="s">
        <v>174</v>
      </c>
      <c r="B18" s="529" t="s">
        <v>175</v>
      </c>
      <c r="C18" s="75" t="s">
        <v>172</v>
      </c>
      <c r="D18" s="76">
        <v>1.645</v>
      </c>
      <c r="E18" s="240">
        <f>'Database - main figures'!B10</f>
        <v>69872</v>
      </c>
      <c r="F18" s="391">
        <v>0.85</v>
      </c>
      <c r="G18" s="41"/>
      <c r="H18" s="88"/>
      <c r="I18" s="293">
        <f>ROUNDUP((D18*D18*E18*F18*(1-F18))/(((E18-1)*0.1*0.1*F18*F18)+D18*D18*F18*(1-F18)),0)</f>
        <v>48</v>
      </c>
      <c r="J18" s="293">
        <f>ROUNDUP(I18+I18*$J$2,0)</f>
        <v>58</v>
      </c>
      <c r="K18" s="91"/>
      <c r="L18" s="7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s="82" customFormat="1" ht="18" customHeight="1" thickBot="1">
      <c r="A19" s="537"/>
      <c r="B19" s="535"/>
      <c r="C19" s="79" t="s">
        <v>173</v>
      </c>
      <c r="D19" s="80">
        <v>1.96</v>
      </c>
      <c r="E19" s="292" t="str">
        <f>E17</f>
        <v>-</v>
      </c>
      <c r="F19" s="291" t="s">
        <v>67</v>
      </c>
      <c r="G19" s="44"/>
      <c r="H19" s="88"/>
      <c r="I19" s="295" t="s">
        <v>67</v>
      </c>
      <c r="J19" s="296" t="s">
        <v>67</v>
      </c>
      <c r="K19" s="91"/>
      <c r="L19" s="7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</row>
    <row r="20" spans="1:74" ht="30" customHeight="1" thickBot="1">
      <c r="A20" s="41"/>
      <c r="B20" s="41" t="s">
        <v>163</v>
      </c>
      <c r="C20" s="66" t="s">
        <v>164</v>
      </c>
      <c r="D20" s="67" t="s">
        <v>165</v>
      </c>
      <c r="E20" s="68" t="s">
        <v>166</v>
      </c>
      <c r="F20" s="69" t="s">
        <v>176</v>
      </c>
      <c r="G20" s="41" t="s">
        <v>177</v>
      </c>
      <c r="H20" s="88" t="s">
        <v>178</v>
      </c>
      <c r="I20" s="450"/>
      <c r="J20" s="450"/>
      <c r="K20" s="91"/>
      <c r="L20" s="7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74" s="78" customFormat="1" ht="18" customHeight="1" thickBot="1">
      <c r="A21" s="533" t="s">
        <v>179</v>
      </c>
      <c r="B21" s="529" t="s">
        <v>180</v>
      </c>
      <c r="C21" s="75" t="s">
        <v>172</v>
      </c>
      <c r="D21" s="76">
        <v>1.645</v>
      </c>
      <c r="E21" s="90">
        <f>E16</f>
        <v>69872</v>
      </c>
      <c r="F21" s="87">
        <v>1.477E-2</v>
      </c>
      <c r="G21" s="83"/>
      <c r="H21" s="84">
        <f>(F21/F22)*(F21/F22)</f>
        <v>2.0923045553127859E-3</v>
      </c>
      <c r="I21" s="295">
        <f>ROUNDUP((D21*D21*E21*H21)/(((E21-1)*0.1*0.1+D21*D21*H21)),0)</f>
        <v>1</v>
      </c>
      <c r="J21" s="296">
        <f>ROUNDUP(I21+I21*$J$2,0)</f>
        <v>2</v>
      </c>
      <c r="K21" s="91"/>
      <c r="L21" s="7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spans="1:74" s="82" customFormat="1" ht="18" customHeight="1">
      <c r="A22" s="534"/>
      <c r="B22" s="535"/>
      <c r="C22" s="79" t="s">
        <v>173</v>
      </c>
      <c r="D22" s="80">
        <v>1.96</v>
      </c>
      <c r="E22" s="81" t="s">
        <v>67</v>
      </c>
      <c r="F22" s="81">
        <v>0.32290000000000002</v>
      </c>
      <c r="G22" s="85"/>
      <c r="H22" s="86"/>
      <c r="I22" s="294" t="s">
        <v>67</v>
      </c>
      <c r="J22" s="294" t="s">
        <v>67</v>
      </c>
      <c r="K22" s="91"/>
      <c r="L22" s="7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spans="1:74" ht="18" customHeight="1">
      <c r="A23" s="99"/>
      <c r="B23" s="99"/>
      <c r="C23" s="99"/>
      <c r="D23" s="99"/>
      <c r="E23" s="99"/>
      <c r="F23" s="99"/>
      <c r="G23" s="91"/>
      <c r="H23" s="91"/>
      <c r="I23" s="91"/>
      <c r="J23" s="91"/>
      <c r="K23" s="91"/>
      <c r="L23" s="9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74" s="1" customFormat="1" ht="18.75">
      <c r="B24" s="287" t="s">
        <v>182</v>
      </c>
      <c r="C24" s="287"/>
      <c r="K24" s="91"/>
    </row>
    <row r="25" spans="1:74" ht="27" customHeight="1">
      <c r="A25" s="41" t="s">
        <v>162</v>
      </c>
      <c r="B25" s="41" t="s">
        <v>163</v>
      </c>
      <c r="C25" s="66" t="s">
        <v>164</v>
      </c>
      <c r="D25" s="67" t="s">
        <v>165</v>
      </c>
      <c r="E25" s="68" t="s">
        <v>166</v>
      </c>
      <c r="F25" s="69" t="s">
        <v>167</v>
      </c>
      <c r="G25" s="41"/>
      <c r="H25" s="41"/>
      <c r="I25" s="69" t="s">
        <v>168</v>
      </c>
      <c r="J25" s="66" t="s">
        <v>169</v>
      </c>
      <c r="K25" s="91"/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74" ht="23.45" customHeight="1">
      <c r="A26" s="533" t="s">
        <v>170</v>
      </c>
      <c r="B26" s="529" t="s">
        <v>171</v>
      </c>
      <c r="C26" s="70" t="s">
        <v>172</v>
      </c>
      <c r="D26" s="71">
        <v>1.645</v>
      </c>
      <c r="E26" s="240">
        <f>'Database - main figures'!B11</f>
        <v>98446</v>
      </c>
      <c r="F26" s="391">
        <v>0.9</v>
      </c>
      <c r="G26" s="41"/>
      <c r="H26" s="88"/>
      <c r="I26" s="293">
        <f>ROUNDUP((D26*D26*E26*F26*(1-F26))/(((E26-1)*0.1*0.1*F26*F26)+D26*D26*F26*(1-F26)),0)</f>
        <v>31</v>
      </c>
      <c r="J26" s="293">
        <f>ROUNDUP(I26+I26*$J$2,0)</f>
        <v>38</v>
      </c>
      <c r="K26" s="9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74" ht="24" customHeight="1" thickBot="1">
      <c r="A27" s="534"/>
      <c r="B27" s="530"/>
      <c r="C27" s="73" t="s">
        <v>173</v>
      </c>
      <c r="D27" s="74">
        <v>1.96</v>
      </c>
      <c r="E27" s="290" t="s">
        <v>67</v>
      </c>
      <c r="F27" s="291" t="s">
        <v>67</v>
      </c>
      <c r="G27" s="44"/>
      <c r="H27" s="88"/>
      <c r="I27" s="293" t="s">
        <v>67</v>
      </c>
      <c r="J27" s="293" t="s">
        <v>67</v>
      </c>
      <c r="K27" s="9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74" s="78" customFormat="1" ht="18" customHeight="1" thickBot="1">
      <c r="A28" s="536" t="s">
        <v>174</v>
      </c>
      <c r="B28" s="529" t="s">
        <v>175</v>
      </c>
      <c r="C28" s="75" t="s">
        <v>172</v>
      </c>
      <c r="D28" s="76">
        <v>1.645</v>
      </c>
      <c r="E28" s="240">
        <f>E26</f>
        <v>98446</v>
      </c>
      <c r="F28" s="391">
        <v>0.85</v>
      </c>
      <c r="G28" s="41"/>
      <c r="H28" s="88"/>
      <c r="I28" s="295">
        <f>ROUNDUP((D28*D28*E28*F28*(1-F28))/(((E28-1)*0.1*0.1*F28*F28)+D28*D28*F28*(1-F28)),0)</f>
        <v>48</v>
      </c>
      <c r="J28" s="296">
        <f>ROUNDUP(I28+I28*$J$2,0)</f>
        <v>58</v>
      </c>
      <c r="K28" s="91"/>
      <c r="L28" s="77"/>
      <c r="M28" s="1">
        <f>J28*3</f>
        <v>174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</row>
    <row r="29" spans="1:74" s="82" customFormat="1" ht="18" customHeight="1" thickBot="1">
      <c r="A29" s="537"/>
      <c r="B29" s="530"/>
      <c r="C29" s="79" t="s">
        <v>173</v>
      </c>
      <c r="D29" s="80">
        <v>1.96</v>
      </c>
      <c r="E29" s="292" t="s">
        <v>67</v>
      </c>
      <c r="F29" s="291" t="s">
        <v>67</v>
      </c>
      <c r="G29" s="44"/>
      <c r="H29" s="88"/>
      <c r="I29" s="295" t="s">
        <v>67</v>
      </c>
      <c r="J29" s="296" t="s">
        <v>67</v>
      </c>
      <c r="K29" s="91"/>
      <c r="L29" s="7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ht="27.6" customHeight="1" thickBot="1">
      <c r="A30" s="41"/>
      <c r="B30" s="41" t="s">
        <v>163</v>
      </c>
      <c r="C30" s="66" t="s">
        <v>164</v>
      </c>
      <c r="D30" s="67" t="s">
        <v>165</v>
      </c>
      <c r="E30" s="68" t="s">
        <v>166</v>
      </c>
      <c r="F30" s="69" t="s">
        <v>176</v>
      </c>
      <c r="G30" s="41" t="s">
        <v>177</v>
      </c>
      <c r="H30" s="88" t="s">
        <v>178</v>
      </c>
      <c r="I30" s="450"/>
      <c r="J30" s="450"/>
      <c r="K30" s="91"/>
      <c r="L30" s="7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74" s="78" customFormat="1" ht="18" customHeight="1" thickBot="1">
      <c r="A31" s="533" t="s">
        <v>179</v>
      </c>
      <c r="B31" s="529" t="s">
        <v>180</v>
      </c>
      <c r="C31" s="75" t="s">
        <v>172</v>
      </c>
      <c r="D31" s="76">
        <v>1.645</v>
      </c>
      <c r="E31" s="90">
        <f>E26</f>
        <v>98446</v>
      </c>
      <c r="F31" s="87">
        <v>1.477E-2</v>
      </c>
      <c r="G31" s="83"/>
      <c r="H31" s="84">
        <f>(F31/F32)*(F31/F32)</f>
        <v>2.0923045553127859E-3</v>
      </c>
      <c r="I31" s="295">
        <f>ROUNDUP((D31*D31*E31*H31)/(((E31-1)*0.1*0.1+D31*D31*H31)),0)</f>
        <v>1</v>
      </c>
      <c r="J31" s="296">
        <f>ROUNDUP(I31+I31*$J$2,0)</f>
        <v>2</v>
      </c>
      <c r="K31" s="91"/>
      <c r="L31" s="7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s="82" customFormat="1" ht="18" customHeight="1">
      <c r="A32" s="534"/>
      <c r="B32" s="530"/>
      <c r="C32" s="79"/>
      <c r="D32" s="80"/>
      <c r="E32" s="81"/>
      <c r="F32" s="81">
        <v>0.32290000000000002</v>
      </c>
      <c r="G32" s="85"/>
      <c r="H32" s="86"/>
      <c r="I32" s="294"/>
      <c r="J32" s="294"/>
      <c r="K32" s="91"/>
      <c r="L32" s="7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1:60" ht="18" customHeight="1" thickBot="1">
      <c r="A33" s="99"/>
      <c r="B33" s="99"/>
      <c r="C33" s="99"/>
      <c r="D33" s="99"/>
      <c r="E33" s="99"/>
      <c r="F33" s="99"/>
      <c r="G33" s="91"/>
      <c r="H33" s="91"/>
      <c r="I33" s="91"/>
      <c r="J33" s="91"/>
      <c r="K33" s="91"/>
      <c r="L33" s="9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34.35" customHeight="1" thickBot="1">
      <c r="A34" s="101" t="s">
        <v>183</v>
      </c>
      <c r="B34" s="102" t="s">
        <v>184</v>
      </c>
      <c r="C34" s="106">
        <f>SQRT(((D11^2*E11*(F11/F12)^2)/I11-D11^2*(F11/F12)^2)/(E11-1))</f>
        <v>7.5245122328894395E-2</v>
      </c>
      <c r="D34" s="99"/>
      <c r="E34" s="91"/>
      <c r="F34" s="91"/>
      <c r="G34" s="91"/>
      <c r="H34" s="91"/>
      <c r="I34" s="91"/>
      <c r="J34" s="91"/>
      <c r="K34" s="91"/>
      <c r="L34" s="9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18" customHeight="1">
      <c r="A35" s="92"/>
      <c r="B35" s="92"/>
      <c r="C35" s="98"/>
      <c r="D35" s="99"/>
      <c r="E35" s="91"/>
      <c r="F35" s="91"/>
      <c r="G35" s="91"/>
      <c r="H35" s="91"/>
      <c r="I35" s="91"/>
      <c r="J35" s="91"/>
      <c r="K35" s="91"/>
      <c r="L35" s="9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31.35" customHeight="1" thickBot="1">
      <c r="A36" s="1"/>
      <c r="C36" s="99"/>
      <c r="D36" s="97" t="s">
        <v>185</v>
      </c>
      <c r="E36" s="68" t="s">
        <v>166</v>
      </c>
      <c r="F36" s="69" t="s">
        <v>176</v>
      </c>
      <c r="G36" s="41" t="s">
        <v>186</v>
      </c>
      <c r="H36" s="41" t="s">
        <v>187</v>
      </c>
      <c r="I36" s="66" t="s">
        <v>168</v>
      </c>
      <c r="J36" s="103" t="s">
        <v>183</v>
      </c>
      <c r="K36" s="91"/>
      <c r="L36" s="7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39" customHeight="1" thickBot="1">
      <c r="A37" s="527" t="s">
        <v>183</v>
      </c>
      <c r="B37" s="531" t="s">
        <v>188</v>
      </c>
      <c r="C37" s="100" t="s">
        <v>172</v>
      </c>
      <c r="D37" s="76">
        <f>TINV(0.1,J11-1)</f>
        <v>6.3137515146750438</v>
      </c>
      <c r="E37" s="90">
        <f>'Database - main figures'!B8</f>
        <v>203460</v>
      </c>
      <c r="F37" s="87">
        <f>F11</f>
        <v>1.477E-2</v>
      </c>
      <c r="G37" s="96">
        <f>F37*F37</f>
        <v>2.181529E-4</v>
      </c>
      <c r="H37" s="96">
        <f>SQRT(((1-I37/E37)*G37)/I37)</f>
        <v>1.4769963702894552E-2</v>
      </c>
      <c r="I37" s="89">
        <f>ROUNDUP((D37*D37*E37*G37)/(((E37-1)*0.1*0.1+D37*D37*G37)),0)</f>
        <v>1</v>
      </c>
      <c r="J37" s="104">
        <f>D37*H37/F38</f>
        <v>0.28880111706672618</v>
      </c>
      <c r="K37" s="91"/>
      <c r="L37" s="7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5.75" thickBot="1">
      <c r="A38" s="528"/>
      <c r="B38" s="532"/>
      <c r="C38" s="79"/>
      <c r="D38" s="80"/>
      <c r="E38" s="81"/>
      <c r="F38" s="81">
        <f>F12</f>
        <v>0.32290000000000002</v>
      </c>
      <c r="G38" s="85"/>
      <c r="H38" s="86"/>
      <c r="I38" s="72"/>
      <c r="J38" s="105"/>
      <c r="K38" s="91"/>
      <c r="L38" s="7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60">
      <c r="A39" s="1"/>
      <c r="B39" s="1"/>
      <c r="C39" s="77"/>
      <c r="D39" s="1"/>
      <c r="E39" s="1"/>
      <c r="F39" s="1"/>
      <c r="G39" s="1"/>
      <c r="H39" s="1"/>
      <c r="I39" s="1"/>
      <c r="J39" s="1"/>
      <c r="K39" s="91"/>
      <c r="L39" s="7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60">
      <c r="A40" s="1"/>
      <c r="C40" s="77"/>
      <c r="D40" s="1"/>
      <c r="E40" s="1"/>
      <c r="F40" s="1"/>
      <c r="G40" s="1"/>
      <c r="H40" s="1"/>
      <c r="I40" s="1"/>
      <c r="J40" s="1"/>
      <c r="K40" s="91"/>
      <c r="L40" s="7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60">
      <c r="A41" s="1" t="s">
        <v>189</v>
      </c>
      <c r="B41" s="1"/>
      <c r="C41" s="77"/>
      <c r="D41" s="1"/>
      <c r="E41" s="1"/>
      <c r="F41" s="1"/>
      <c r="G41" s="1"/>
      <c r="H41" s="1"/>
      <c r="I41" s="1"/>
      <c r="J41" s="1"/>
      <c r="K41" s="9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60">
      <c r="A42" s="93" t="s">
        <v>183</v>
      </c>
      <c r="B42" s="93" t="s">
        <v>190</v>
      </c>
      <c r="C42" s="77"/>
      <c r="D42" s="1"/>
      <c r="E42" s="1"/>
      <c r="F42" s="1"/>
      <c r="G42" s="1"/>
      <c r="H42" s="93" t="s">
        <v>189</v>
      </c>
      <c r="I42" s="1"/>
      <c r="J42" s="1"/>
      <c r="K42" s="9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60">
      <c r="A43" s="1" t="s">
        <v>191</v>
      </c>
      <c r="B43" s="93" t="s">
        <v>192</v>
      </c>
      <c r="C43" s="1"/>
      <c r="D43" s="1"/>
      <c r="E43" s="1"/>
      <c r="F43" s="1"/>
      <c r="G43" s="1"/>
      <c r="H43" s="93" t="s">
        <v>187</v>
      </c>
      <c r="I43" s="93" t="s">
        <v>193</v>
      </c>
      <c r="J43" s="1"/>
      <c r="K43" s="91"/>
      <c r="L43" s="7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>
      <c r="A44" s="93" t="s">
        <v>187</v>
      </c>
      <c r="B44" s="93" t="s">
        <v>193</v>
      </c>
      <c r="C44" s="1"/>
      <c r="D44" s="1"/>
      <c r="E44" s="1"/>
      <c r="F44" s="1"/>
      <c r="G44" s="1"/>
      <c r="H44" s="93" t="s">
        <v>194</v>
      </c>
      <c r="I44" s="93" t="s">
        <v>195</v>
      </c>
      <c r="J44" s="1"/>
      <c r="K44" s="1"/>
      <c r="L44" s="7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>
      <c r="B45" s="1"/>
      <c r="C45" s="1"/>
      <c r="D45" s="1"/>
      <c r="E45" s="1"/>
      <c r="F45" s="1"/>
      <c r="G45" s="1"/>
      <c r="H45" s="93" t="s">
        <v>196</v>
      </c>
      <c r="I45" s="93" t="s">
        <v>197</v>
      </c>
      <c r="J45" s="1"/>
      <c r="K45" s="1"/>
      <c r="L45" s="7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>
      <c r="A46" s="95" t="s">
        <v>198</v>
      </c>
      <c r="B46" s="1"/>
      <c r="C46" s="1"/>
      <c r="D46" s="1"/>
      <c r="E46" s="1"/>
      <c r="F46" s="1"/>
      <c r="G46" s="1"/>
      <c r="H46" s="93" t="s">
        <v>199</v>
      </c>
      <c r="I46" s="93" t="s">
        <v>200</v>
      </c>
      <c r="J46" s="1"/>
      <c r="K46" s="1"/>
      <c r="L46" s="7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>
      <c r="A47" s="1" t="s">
        <v>201</v>
      </c>
      <c r="B47" s="1"/>
      <c r="C47" s="1"/>
      <c r="D47" s="1"/>
      <c r="E47" s="1"/>
      <c r="F47" s="1"/>
      <c r="G47" s="1"/>
      <c r="H47" s="1" t="s">
        <v>191</v>
      </c>
      <c r="I47" s="93" t="s">
        <v>192</v>
      </c>
      <c r="J47" s="1"/>
      <c r="K47" s="1"/>
      <c r="L47" s="7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>
      <c r="A48" s="1"/>
      <c r="B48" s="1"/>
      <c r="C48" s="1"/>
      <c r="D48" s="1"/>
      <c r="E48" s="1"/>
      <c r="F48" s="1"/>
      <c r="G48" s="1"/>
      <c r="I48" s="1"/>
      <c r="J48" s="1"/>
      <c r="K48" s="1"/>
      <c r="L48" s="7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>
      <c r="A49" s="94"/>
      <c r="B49" s="94"/>
      <c r="C49" s="1"/>
      <c r="D49" s="1"/>
      <c r="E49" s="1"/>
      <c r="F49" s="1"/>
      <c r="G49" s="1"/>
      <c r="H49" s="95" t="s">
        <v>198</v>
      </c>
      <c r="I49" s="1"/>
      <c r="J49" s="1"/>
      <c r="K49" s="1"/>
      <c r="L49" s="7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7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7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7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7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7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7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7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7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7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1:6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7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1:6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7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1:6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7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1:6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7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1:6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7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1:6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7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1:6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7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1:6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7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1:6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7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1:6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7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1:6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7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1:6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7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1:6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7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1:6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1:6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1:6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1:6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1:6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1:6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7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1:6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1:6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spans="1:6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spans="1:6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7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spans="1:6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spans="1:6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spans="1:6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spans="1:6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spans="1:6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spans="1:6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spans="1:6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spans="1:6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spans="1:6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spans="1:6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spans="1:6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spans="1:6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spans="1:6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spans="1:6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spans="1:6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spans="1:6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 spans="1:6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 spans="1:6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 spans="1:6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 spans="1:6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 spans="1:6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 spans="1:6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 spans="1:6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 spans="1:6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spans="1:6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spans="1:6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spans="1:6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spans="1:6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6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6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6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6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6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6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6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6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6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6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6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6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</sheetData>
  <mergeCells count="20">
    <mergeCell ref="A28:A29"/>
    <mergeCell ref="B28:B29"/>
    <mergeCell ref="A6:A7"/>
    <mergeCell ref="A11:A12"/>
    <mergeCell ref="A37:A38"/>
    <mergeCell ref="B6:B7"/>
    <mergeCell ref="B8:B9"/>
    <mergeCell ref="B11:B12"/>
    <mergeCell ref="B37:B38"/>
    <mergeCell ref="A21:A22"/>
    <mergeCell ref="B21:B22"/>
    <mergeCell ref="A16:A17"/>
    <mergeCell ref="B16:B17"/>
    <mergeCell ref="A18:A19"/>
    <mergeCell ref="B18:B19"/>
    <mergeCell ref="A8:A9"/>
    <mergeCell ref="A31:A32"/>
    <mergeCell ref="B31:B32"/>
    <mergeCell ref="A26:A27"/>
    <mergeCell ref="B26:B27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207" r:id="rId4">
          <objectPr defaultSize="0" autoPict="0" r:id="rId5">
            <anchor moveWithCells="1">
              <from>
                <xdr:col>6</xdr:col>
                <xdr:colOff>914400</xdr:colOff>
                <xdr:row>38</xdr:row>
                <xdr:rowOff>76200</xdr:rowOff>
              </from>
              <to>
                <xdr:col>8</xdr:col>
                <xdr:colOff>714375</xdr:colOff>
                <xdr:row>40</xdr:row>
                <xdr:rowOff>152400</xdr:rowOff>
              </to>
            </anchor>
          </objectPr>
        </oleObject>
      </mc:Choice>
      <mc:Fallback>
        <oleObject progId="Equation.3" shapeId="8207" r:id="rId4"/>
      </mc:Fallback>
    </mc:AlternateContent>
    <mc:AlternateContent xmlns:mc="http://schemas.openxmlformats.org/markup-compatibility/2006">
      <mc:Choice Requires="x14">
        <oleObject progId="Equation.3" shapeId="8208" r:id="rId6">
          <objectPr defaultSize="0" autoPict="0" r:id="rId7">
            <anchor moveWithCells="1">
              <from>
                <xdr:col>0</xdr:col>
                <xdr:colOff>85725</xdr:colOff>
                <xdr:row>38</xdr:row>
                <xdr:rowOff>142875</xdr:rowOff>
              </from>
              <to>
                <xdr:col>0</xdr:col>
                <xdr:colOff>809625</xdr:colOff>
                <xdr:row>39</xdr:row>
                <xdr:rowOff>142875</xdr:rowOff>
              </to>
            </anchor>
          </objectPr>
        </oleObject>
      </mc:Choice>
      <mc:Fallback>
        <oleObject progId="Equation.3" shapeId="820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46D3-6F08-4ABC-B1A4-61287D9CA8D4}">
  <dimension ref="A2:P25"/>
  <sheetViews>
    <sheetView workbookViewId="0">
      <selection activeCell="E19" sqref="E19"/>
    </sheetView>
  </sheetViews>
  <sheetFormatPr baseColWidth="10" defaultColWidth="11.42578125" defaultRowHeight="15"/>
  <cols>
    <col min="2" max="2" width="15.42578125" customWidth="1"/>
    <col min="5" max="5" width="21.5703125" customWidth="1"/>
    <col min="9" max="9" width="12.85546875" bestFit="1" customWidth="1"/>
  </cols>
  <sheetData>
    <row r="2" spans="1:9">
      <c r="D2" s="257" t="s">
        <v>202</v>
      </c>
      <c r="E2" s="257" t="s">
        <v>203</v>
      </c>
      <c r="G2" s="538" t="s">
        <v>204</v>
      </c>
      <c r="H2" s="539"/>
      <c r="I2" s="540"/>
    </row>
    <row r="3" spans="1:9">
      <c r="A3" s="542" t="s">
        <v>205</v>
      </c>
      <c r="B3" s="259" t="s">
        <v>206</v>
      </c>
      <c r="C3" s="260">
        <v>43448</v>
      </c>
      <c r="D3" s="259">
        <f>H3-C3+1</f>
        <v>18</v>
      </c>
      <c r="E3" s="259"/>
      <c r="G3" s="256">
        <v>43431</v>
      </c>
      <c r="H3" s="256">
        <v>43465</v>
      </c>
      <c r="I3" s="269">
        <v>2213</v>
      </c>
    </row>
    <row r="4" spans="1:9">
      <c r="A4" s="543"/>
      <c r="B4" s="259" t="s">
        <v>207</v>
      </c>
      <c r="C4" s="260">
        <v>43812</v>
      </c>
      <c r="D4" s="259">
        <f>C4-G4+1</f>
        <v>347</v>
      </c>
      <c r="E4" s="259"/>
      <c r="G4" s="256">
        <v>43466</v>
      </c>
      <c r="H4" s="256">
        <v>43830</v>
      </c>
      <c r="I4" s="269">
        <v>78390</v>
      </c>
    </row>
    <row r="5" spans="1:9">
      <c r="A5" s="543"/>
      <c r="B5" s="259" t="s">
        <v>206</v>
      </c>
      <c r="C5" s="260">
        <f>'VCU calculation'!C6</f>
        <v>44713</v>
      </c>
      <c r="D5" s="259">
        <f>H4+1-C5</f>
        <v>-882</v>
      </c>
      <c r="E5" s="259"/>
      <c r="G5" s="256">
        <v>43831</v>
      </c>
      <c r="H5" s="256">
        <v>44196</v>
      </c>
      <c r="I5" s="269">
        <v>242969</v>
      </c>
    </row>
    <row r="6" spans="1:9">
      <c r="A6" s="543"/>
      <c r="B6" s="259" t="s">
        <v>207</v>
      </c>
      <c r="C6" s="260">
        <f>'VCU calculation'!D6</f>
        <v>44926</v>
      </c>
      <c r="D6" s="259"/>
      <c r="E6" s="259"/>
      <c r="G6" s="255"/>
      <c r="H6" s="255"/>
    </row>
    <row r="7" spans="1:9">
      <c r="A7" s="543"/>
      <c r="B7" s="259" t="s">
        <v>208</v>
      </c>
      <c r="C7" s="259"/>
      <c r="D7" s="259"/>
      <c r="E7" s="265"/>
      <c r="G7" s="255"/>
    </row>
    <row r="8" spans="1:9">
      <c r="A8" s="543"/>
      <c r="B8" s="259" t="s">
        <v>209</v>
      </c>
      <c r="C8" s="259">
        <f>H4-C5+1</f>
        <v>-882</v>
      </c>
      <c r="D8" s="259"/>
      <c r="E8" s="265">
        <f>C8*I4/365</f>
        <v>-189424.60273972602</v>
      </c>
    </row>
    <row r="9" spans="1:9">
      <c r="A9" s="543"/>
      <c r="B9" s="259" t="s">
        <v>210</v>
      </c>
      <c r="C9" s="259">
        <f>C6-G5+1</f>
        <v>1096</v>
      </c>
      <c r="D9" s="259"/>
      <c r="E9" s="265">
        <f>C9*I5/366</f>
        <v>727579.3005464481</v>
      </c>
    </row>
    <row r="10" spans="1:9">
      <c r="A10" s="544"/>
      <c r="B10" s="261" t="s">
        <v>211</v>
      </c>
      <c r="C10" s="261"/>
      <c r="D10" s="261"/>
      <c r="E10" s="266">
        <f>E8+E9+E7</f>
        <v>538154.69780672202</v>
      </c>
    </row>
    <row r="11" spans="1:9">
      <c r="A11" s="258"/>
      <c r="E11" s="267"/>
    </row>
    <row r="12" spans="1:9">
      <c r="E12" s="268" t="s">
        <v>203</v>
      </c>
    </row>
    <row r="13" spans="1:9">
      <c r="A13" s="545" t="s">
        <v>212</v>
      </c>
      <c r="B13" s="259" t="s">
        <v>206</v>
      </c>
      <c r="C13" s="262">
        <v>43626</v>
      </c>
      <c r="D13" s="259">
        <f>C14+1-C13</f>
        <v>187</v>
      </c>
      <c r="E13" s="265"/>
      <c r="G13" s="538" t="s">
        <v>204</v>
      </c>
      <c r="H13" s="539"/>
      <c r="I13" s="540"/>
    </row>
    <row r="14" spans="1:9">
      <c r="A14" s="545"/>
      <c r="B14" s="259" t="s">
        <v>207</v>
      </c>
      <c r="C14" s="262">
        <v>43812</v>
      </c>
      <c r="D14" s="259"/>
      <c r="E14" s="265"/>
      <c r="G14" s="256">
        <v>43617</v>
      </c>
      <c r="H14" s="256">
        <v>43830</v>
      </c>
      <c r="I14" s="269">
        <v>21016</v>
      </c>
    </row>
    <row r="15" spans="1:9">
      <c r="A15" s="545"/>
      <c r="B15" s="259" t="s">
        <v>206</v>
      </c>
      <c r="C15" s="260">
        <f t="shared" ref="C15:C16" si="0">C5</f>
        <v>44713</v>
      </c>
      <c r="D15" s="259">
        <f>H14+1-C15</f>
        <v>-882</v>
      </c>
      <c r="E15" s="265"/>
      <c r="G15" s="256">
        <v>43831</v>
      </c>
      <c r="H15" s="256">
        <v>44196</v>
      </c>
      <c r="I15" s="269">
        <v>125948</v>
      </c>
    </row>
    <row r="16" spans="1:9">
      <c r="A16" s="545"/>
      <c r="B16" s="259" t="s">
        <v>207</v>
      </c>
      <c r="C16" s="260">
        <f t="shared" si="0"/>
        <v>44926</v>
      </c>
      <c r="D16" s="259">
        <f>C16+1-G15</f>
        <v>1096</v>
      </c>
      <c r="E16" s="265"/>
    </row>
    <row r="17" spans="1:16">
      <c r="A17" s="545"/>
      <c r="B17" s="259" t="s">
        <v>209</v>
      </c>
      <c r="C17" s="259">
        <f>H14-C15+1</f>
        <v>-882</v>
      </c>
      <c r="D17" s="259"/>
      <c r="E17" s="265">
        <f>C17*I14/214</f>
        <v>-86617.345794392517</v>
      </c>
    </row>
    <row r="18" spans="1:16">
      <c r="A18" s="545"/>
      <c r="B18" s="259" t="s">
        <v>210</v>
      </c>
      <c r="C18" s="259">
        <f>D16</f>
        <v>1096</v>
      </c>
      <c r="D18" s="259"/>
      <c r="E18" s="265">
        <f>C18*I15/366</f>
        <v>377155.75956284156</v>
      </c>
      <c r="P18" s="255"/>
    </row>
    <row r="19" spans="1:16">
      <c r="A19" s="545"/>
      <c r="B19" s="261" t="s">
        <v>211</v>
      </c>
      <c r="C19" s="259"/>
      <c r="D19" s="259"/>
      <c r="E19" s="266">
        <f>E17+E18</f>
        <v>290538.41376844904</v>
      </c>
      <c r="O19" s="255"/>
      <c r="P19" s="255"/>
    </row>
    <row r="20" spans="1:16">
      <c r="A20" s="258"/>
      <c r="E20" s="267"/>
      <c r="O20" s="255"/>
      <c r="P20" s="255"/>
    </row>
    <row r="21" spans="1:16">
      <c r="E21" s="267"/>
    </row>
    <row r="22" spans="1:16">
      <c r="B22" s="541" t="s">
        <v>213</v>
      </c>
      <c r="C22" s="541"/>
      <c r="D22" s="541"/>
      <c r="E22" s="268">
        <f>E19+E10</f>
        <v>828693.11157517112</v>
      </c>
    </row>
    <row r="24" spans="1:16">
      <c r="C24" s="255"/>
    </row>
    <row r="25" spans="1:16">
      <c r="C25" s="255"/>
    </row>
  </sheetData>
  <mergeCells count="5">
    <mergeCell ref="G2:I2"/>
    <mergeCell ref="B22:D22"/>
    <mergeCell ref="A3:A10"/>
    <mergeCell ref="A13:A19"/>
    <mergeCell ref="G13:I13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2CDB-4DC7-472C-AF9D-1F2FC884DD4B}">
  <sheetPr>
    <tabColor rgb="FFFFFF00"/>
  </sheetPr>
  <dimension ref="A1:AD1073"/>
  <sheetViews>
    <sheetView topLeftCell="H1" zoomScaleNormal="100" zoomScalePageLayoutView="130" workbookViewId="0">
      <pane ySplit="1" topLeftCell="A242" activePane="bottomLeft" state="frozen"/>
      <selection pane="bottomLeft" activeCell="K213" sqref="K213"/>
    </sheetView>
  </sheetViews>
  <sheetFormatPr baseColWidth="10" defaultColWidth="8.85546875" defaultRowHeight="11.25"/>
  <cols>
    <col min="1" max="1" width="9" style="55" customWidth="1"/>
    <col min="2" max="2" width="13.85546875" style="55" customWidth="1"/>
    <col min="3" max="3" width="12.85546875" style="55" customWidth="1"/>
    <col min="4" max="4" width="9.140625" style="55" customWidth="1"/>
    <col min="5" max="5" width="9.5703125" style="57" customWidth="1"/>
    <col min="6" max="6" width="12.5703125" style="57" customWidth="1"/>
    <col min="7" max="7" width="11.85546875" style="420" customWidth="1"/>
    <col min="8" max="8" width="11.85546875" style="57" customWidth="1"/>
    <col min="9" max="9" width="11.85546875" style="58" customWidth="1"/>
    <col min="10" max="10" width="8" style="55" customWidth="1"/>
    <col min="11" max="11" width="8.5703125" style="55" customWidth="1"/>
    <col min="12" max="12" width="7.5703125" style="55" customWidth="1"/>
    <col min="13" max="13" width="11.5703125" style="55" customWidth="1"/>
    <col min="14" max="14" width="9.85546875" style="55" customWidth="1"/>
    <col min="15" max="15" width="8.5703125" style="55" customWidth="1"/>
    <col min="16" max="16" width="8.140625" style="415" customWidth="1"/>
    <col min="17" max="17" width="10.5703125" style="416" customWidth="1"/>
    <col min="18" max="18" width="6.5703125" style="422" customWidth="1"/>
    <col min="19" max="19" width="7" style="416" customWidth="1"/>
    <col min="20" max="20" width="10" style="56" customWidth="1"/>
    <col min="21" max="21" width="7.85546875" style="55" customWidth="1"/>
    <col min="22" max="22" width="6.140625" style="55" customWidth="1"/>
    <col min="23" max="23" width="9" style="55" customWidth="1"/>
    <col min="24" max="24" width="8.5703125" style="55" customWidth="1"/>
    <col min="25" max="25" width="8.85546875" style="55" customWidth="1"/>
    <col min="26" max="16384" width="8.85546875" style="55"/>
  </cols>
  <sheetData>
    <row r="1" spans="1:30" s="63" customFormat="1" ht="65.099999999999994" customHeight="1">
      <c r="A1" s="63" t="s">
        <v>214</v>
      </c>
      <c r="B1" s="63" t="s">
        <v>304</v>
      </c>
      <c r="C1" s="402" t="s">
        <v>216</v>
      </c>
      <c r="D1" s="405" t="s">
        <v>215</v>
      </c>
      <c r="E1" s="404" t="s">
        <v>307</v>
      </c>
      <c r="F1" s="402" t="s">
        <v>305</v>
      </c>
      <c r="G1" s="403" t="s">
        <v>306</v>
      </c>
      <c r="H1" s="402" t="s">
        <v>308</v>
      </c>
      <c r="I1" s="406" t="s">
        <v>309</v>
      </c>
      <c r="J1" s="406" t="s">
        <v>310</v>
      </c>
      <c r="K1" s="407" t="s">
        <v>311</v>
      </c>
      <c r="L1" s="402" t="s">
        <v>217</v>
      </c>
      <c r="M1" s="402" t="s">
        <v>312</v>
      </c>
      <c r="N1" s="402" t="s">
        <v>313</v>
      </c>
      <c r="O1" s="404" t="s">
        <v>314</v>
      </c>
      <c r="P1" s="425" t="s">
        <v>1027</v>
      </c>
      <c r="Q1" s="404" t="s">
        <v>315</v>
      </c>
      <c r="R1" s="404" t="s">
        <v>316</v>
      </c>
      <c r="S1" s="404" t="s">
        <v>317</v>
      </c>
      <c r="T1" s="404" t="s">
        <v>218</v>
      </c>
      <c r="U1" s="404" t="s">
        <v>219</v>
      </c>
      <c r="W1" s="426">
        <v>43255</v>
      </c>
      <c r="X1" s="426">
        <v>43620</v>
      </c>
      <c r="Y1" s="426">
        <v>43986</v>
      </c>
      <c r="Z1" s="408"/>
      <c r="AA1" s="408"/>
      <c r="AB1" s="408"/>
    </row>
    <row r="2" spans="1:30" s="409" customFormat="1" ht="14.1" customHeight="1">
      <c r="A2" s="410">
        <v>44932</v>
      </c>
      <c r="B2" s="409" t="s">
        <v>323</v>
      </c>
      <c r="C2" s="411" t="s">
        <v>324</v>
      </c>
      <c r="D2" s="413" t="s">
        <v>327</v>
      </c>
      <c r="E2" s="411">
        <v>12</v>
      </c>
      <c r="F2" s="411" t="s">
        <v>325</v>
      </c>
      <c r="G2" s="412" t="s">
        <v>326</v>
      </c>
      <c r="H2" s="410">
        <v>43430</v>
      </c>
      <c r="I2" s="409" t="s">
        <v>221</v>
      </c>
      <c r="J2" s="409" t="s">
        <v>221</v>
      </c>
      <c r="K2" s="409">
        <v>2</v>
      </c>
      <c r="L2" s="411" t="s">
        <v>220</v>
      </c>
      <c r="M2" s="411"/>
      <c r="N2" s="415">
        <v>3</v>
      </c>
      <c r="O2" s="416">
        <v>0</v>
      </c>
      <c r="P2" s="422">
        <f t="shared" ref="P2:P65" si="0">O2/(O2+N2)</f>
        <v>0</v>
      </c>
      <c r="Q2" s="416" t="s">
        <v>220</v>
      </c>
      <c r="R2" s="409" t="s">
        <v>221</v>
      </c>
      <c r="S2" s="409" t="s">
        <v>221</v>
      </c>
      <c r="T2" s="417" t="s">
        <v>67</v>
      </c>
      <c r="U2" s="409" t="str">
        <f t="shared" ref="U2:U65" si="1">IF(AND(H2&gt;=$W$1,H2&lt;$X$1),"2018",IF(AND(H2&gt;=$X$1,H2&lt;$Y$1),"2019",IF(H2&gt;=$Y$1,"2020")))</f>
        <v>2018</v>
      </c>
      <c r="AA2" s="410"/>
      <c r="AD2" s="418"/>
    </row>
    <row r="3" spans="1:30" s="409" customFormat="1" ht="14.1" customHeight="1">
      <c r="A3" s="410">
        <v>44940</v>
      </c>
      <c r="B3" s="409" t="s">
        <v>328</v>
      </c>
      <c r="C3" s="411" t="s">
        <v>329</v>
      </c>
      <c r="D3" s="413" t="s">
        <v>332</v>
      </c>
      <c r="E3" s="411">
        <v>10</v>
      </c>
      <c r="F3" s="411" t="s">
        <v>330</v>
      </c>
      <c r="G3" s="412" t="s">
        <v>331</v>
      </c>
      <c r="H3" s="410">
        <v>43405</v>
      </c>
      <c r="I3" s="409" t="s">
        <v>220</v>
      </c>
      <c r="J3" s="409" t="s">
        <v>220</v>
      </c>
      <c r="K3" s="409">
        <v>1</v>
      </c>
      <c r="L3" s="411" t="s">
        <v>221</v>
      </c>
      <c r="M3" s="411" t="s">
        <v>333</v>
      </c>
      <c r="N3" s="415">
        <v>0</v>
      </c>
      <c r="O3" s="416">
        <v>1</v>
      </c>
      <c r="P3" s="422">
        <f t="shared" si="0"/>
        <v>1</v>
      </c>
      <c r="Q3" s="416" t="s">
        <v>220</v>
      </c>
      <c r="R3" s="409" t="s">
        <v>220</v>
      </c>
      <c r="S3" s="409" t="s">
        <v>220</v>
      </c>
      <c r="T3" s="417" t="s">
        <v>334</v>
      </c>
      <c r="U3" s="409" t="str">
        <f t="shared" si="1"/>
        <v>2018</v>
      </c>
      <c r="AA3" s="410"/>
      <c r="AD3" s="418"/>
    </row>
    <row r="4" spans="1:30" s="409" customFormat="1" ht="14.1" customHeight="1">
      <c r="A4" s="410">
        <v>44942</v>
      </c>
      <c r="B4" s="409" t="s">
        <v>328</v>
      </c>
      <c r="C4" s="411" t="s">
        <v>335</v>
      </c>
      <c r="D4" s="413" t="s">
        <v>337</v>
      </c>
      <c r="E4" s="411">
        <v>6</v>
      </c>
      <c r="F4" s="411" t="s">
        <v>320</v>
      </c>
      <c r="G4" s="412" t="s">
        <v>336</v>
      </c>
      <c r="H4" s="410">
        <v>43440</v>
      </c>
      <c r="I4" s="409" t="s">
        <v>221</v>
      </c>
      <c r="J4" s="409" t="s">
        <v>221</v>
      </c>
      <c r="K4" s="409">
        <v>1</v>
      </c>
      <c r="L4" s="411" t="s">
        <v>220</v>
      </c>
      <c r="M4" s="411"/>
      <c r="N4" s="415">
        <v>3</v>
      </c>
      <c r="O4" s="416">
        <v>0</v>
      </c>
      <c r="P4" s="422">
        <f t="shared" si="0"/>
        <v>0</v>
      </c>
      <c r="Q4" s="416" t="s">
        <v>220</v>
      </c>
      <c r="R4" s="409" t="s">
        <v>221</v>
      </c>
      <c r="S4" s="409" t="s">
        <v>221</v>
      </c>
      <c r="T4" s="417" t="s">
        <v>67</v>
      </c>
      <c r="U4" s="409" t="str">
        <f t="shared" si="1"/>
        <v>2018</v>
      </c>
      <c r="AA4" s="410"/>
      <c r="AD4" s="418"/>
    </row>
    <row r="5" spans="1:30" s="409" customFormat="1" ht="14.1" customHeight="1">
      <c r="A5" s="410">
        <v>44943</v>
      </c>
      <c r="B5" s="409" t="s">
        <v>338</v>
      </c>
      <c r="C5" s="411" t="s">
        <v>339</v>
      </c>
      <c r="D5" s="413" t="s">
        <v>342</v>
      </c>
      <c r="E5" s="411">
        <v>6</v>
      </c>
      <c r="F5" s="411" t="s">
        <v>340</v>
      </c>
      <c r="G5" s="412" t="s">
        <v>341</v>
      </c>
      <c r="H5" s="410">
        <v>43458</v>
      </c>
      <c r="I5" s="409" t="s">
        <v>221</v>
      </c>
      <c r="J5" s="409" t="s">
        <v>221</v>
      </c>
      <c r="K5" s="409">
        <v>1</v>
      </c>
      <c r="L5" s="411" t="s">
        <v>220</v>
      </c>
      <c r="M5" s="411"/>
      <c r="N5" s="415">
        <v>3</v>
      </c>
      <c r="O5" s="416">
        <v>0</v>
      </c>
      <c r="P5" s="422">
        <f t="shared" si="0"/>
        <v>0</v>
      </c>
      <c r="Q5" s="416" t="s">
        <v>220</v>
      </c>
      <c r="R5" s="409" t="s">
        <v>221</v>
      </c>
      <c r="S5" s="409" t="s">
        <v>221</v>
      </c>
      <c r="T5" s="417" t="s">
        <v>67</v>
      </c>
      <c r="U5" s="409" t="str">
        <f t="shared" si="1"/>
        <v>2018</v>
      </c>
      <c r="AA5" s="410"/>
      <c r="AD5" s="418"/>
    </row>
    <row r="6" spans="1:30" s="409" customFormat="1" ht="14.1" customHeight="1">
      <c r="A6" s="410">
        <v>44943</v>
      </c>
      <c r="B6" s="409" t="s">
        <v>318</v>
      </c>
      <c r="C6" s="411" t="s">
        <v>223</v>
      </c>
      <c r="D6" s="413" t="s">
        <v>345</v>
      </c>
      <c r="E6" s="411">
        <v>6</v>
      </c>
      <c r="F6" s="411" t="s">
        <v>343</v>
      </c>
      <c r="G6" s="412" t="s">
        <v>344</v>
      </c>
      <c r="H6" s="410">
        <v>43456</v>
      </c>
      <c r="I6" s="409" t="s">
        <v>221</v>
      </c>
      <c r="J6" s="409" t="s">
        <v>221</v>
      </c>
      <c r="K6" s="409">
        <v>1</v>
      </c>
      <c r="L6" s="411" t="s">
        <v>221</v>
      </c>
      <c r="M6" s="411" t="s">
        <v>333</v>
      </c>
      <c r="N6" s="415">
        <v>3</v>
      </c>
      <c r="O6" s="416">
        <f>1/7</f>
        <v>0.14285714285714285</v>
      </c>
      <c r="P6" s="422">
        <f t="shared" si="0"/>
        <v>4.5454545454545456E-2</v>
      </c>
      <c r="Q6" s="416" t="s">
        <v>220</v>
      </c>
      <c r="R6" s="409" t="s">
        <v>221</v>
      </c>
      <c r="S6" s="409" t="s">
        <v>221</v>
      </c>
      <c r="T6" s="417" t="s">
        <v>67</v>
      </c>
      <c r="U6" s="409" t="str">
        <f t="shared" si="1"/>
        <v>2018</v>
      </c>
      <c r="AA6" s="410"/>
      <c r="AD6" s="418"/>
    </row>
    <row r="7" spans="1:30" s="409" customFormat="1" ht="14.1" customHeight="1">
      <c r="A7" s="410">
        <v>44938</v>
      </c>
      <c r="B7" s="409" t="s">
        <v>323</v>
      </c>
      <c r="C7" s="411" t="s">
        <v>346</v>
      </c>
      <c r="D7" s="413" t="s">
        <v>349</v>
      </c>
      <c r="E7" s="411">
        <v>7</v>
      </c>
      <c r="F7" s="411" t="s">
        <v>347</v>
      </c>
      <c r="G7" s="412" t="s">
        <v>348</v>
      </c>
      <c r="H7" s="410">
        <v>43458</v>
      </c>
      <c r="I7" s="409" t="s">
        <v>221</v>
      </c>
      <c r="J7" s="409" t="s">
        <v>221</v>
      </c>
      <c r="K7" s="409">
        <v>1</v>
      </c>
      <c r="L7" s="411" t="s">
        <v>221</v>
      </c>
      <c r="M7" s="411" t="s">
        <v>350</v>
      </c>
      <c r="N7" s="415">
        <v>2</v>
      </c>
      <c r="O7" s="416">
        <f>1.1</f>
        <v>1.1000000000000001</v>
      </c>
      <c r="P7" s="422">
        <f t="shared" si="0"/>
        <v>0.35483870967741937</v>
      </c>
      <c r="Q7" s="416" t="s">
        <v>220</v>
      </c>
      <c r="R7" s="409" t="s">
        <v>221</v>
      </c>
      <c r="S7" s="409" t="s">
        <v>221</v>
      </c>
      <c r="T7" s="417" t="s">
        <v>67</v>
      </c>
      <c r="U7" s="409" t="str">
        <f t="shared" si="1"/>
        <v>2018</v>
      </c>
      <c r="AA7" s="410"/>
      <c r="AD7" s="418"/>
    </row>
    <row r="8" spans="1:30" s="409" customFormat="1" ht="14.1" customHeight="1">
      <c r="A8" s="410">
        <v>44940</v>
      </c>
      <c r="B8" s="409" t="s">
        <v>338</v>
      </c>
      <c r="C8" s="411" t="s">
        <v>351</v>
      </c>
      <c r="D8" s="413" t="s">
        <v>353</v>
      </c>
      <c r="E8" s="411">
        <v>4</v>
      </c>
      <c r="F8" s="411" t="s">
        <v>330</v>
      </c>
      <c r="G8" s="412" t="s">
        <v>352</v>
      </c>
      <c r="H8" s="410">
        <v>43447</v>
      </c>
      <c r="I8" s="409" t="s">
        <v>221</v>
      </c>
      <c r="J8" s="409" t="s">
        <v>221</v>
      </c>
      <c r="K8" s="409">
        <v>1</v>
      </c>
      <c r="L8" s="411" t="s">
        <v>221</v>
      </c>
      <c r="M8" s="411" t="s">
        <v>350</v>
      </c>
      <c r="N8" s="415">
        <v>2</v>
      </c>
      <c r="O8" s="416">
        <f>1.2</f>
        <v>1.2</v>
      </c>
      <c r="P8" s="422">
        <f t="shared" si="0"/>
        <v>0.37499999999999994</v>
      </c>
      <c r="Q8" s="416" t="s">
        <v>220</v>
      </c>
      <c r="R8" s="409" t="s">
        <v>221</v>
      </c>
      <c r="S8" s="409" t="s">
        <v>221</v>
      </c>
      <c r="T8" s="417" t="s">
        <v>354</v>
      </c>
      <c r="U8" s="409" t="str">
        <f t="shared" si="1"/>
        <v>2018</v>
      </c>
      <c r="AA8" s="410"/>
      <c r="AD8" s="418"/>
    </row>
    <row r="9" spans="1:30" s="409" customFormat="1" ht="14.1" customHeight="1">
      <c r="A9" s="410">
        <v>44937</v>
      </c>
      <c r="B9" s="409" t="s">
        <v>328</v>
      </c>
      <c r="C9" s="411" t="s">
        <v>355</v>
      </c>
      <c r="D9" s="413" t="s">
        <v>358</v>
      </c>
      <c r="E9" s="411">
        <v>6</v>
      </c>
      <c r="F9" s="411" t="s">
        <v>356</v>
      </c>
      <c r="G9" s="412" t="s">
        <v>357</v>
      </c>
      <c r="H9" s="410">
        <v>43457</v>
      </c>
      <c r="I9" s="409" t="s">
        <v>221</v>
      </c>
      <c r="J9" s="409" t="s">
        <v>221</v>
      </c>
      <c r="K9" s="409">
        <v>2</v>
      </c>
      <c r="L9" s="411" t="s">
        <v>221</v>
      </c>
      <c r="M9" s="411" t="s">
        <v>359</v>
      </c>
      <c r="N9" s="415">
        <v>3</v>
      </c>
      <c r="O9" s="416">
        <v>2</v>
      </c>
      <c r="P9" s="422">
        <f t="shared" si="0"/>
        <v>0.4</v>
      </c>
      <c r="Q9" s="416" t="s">
        <v>220</v>
      </c>
      <c r="R9" s="409" t="s">
        <v>221</v>
      </c>
      <c r="S9" s="409" t="s">
        <v>221</v>
      </c>
      <c r="T9" s="417" t="s">
        <v>67</v>
      </c>
      <c r="U9" s="409" t="str">
        <f t="shared" si="1"/>
        <v>2018</v>
      </c>
      <c r="AA9" s="410"/>
      <c r="AD9" s="418"/>
    </row>
    <row r="10" spans="1:30" s="409" customFormat="1" ht="14.1" customHeight="1">
      <c r="A10" s="410">
        <v>44942</v>
      </c>
      <c r="B10" s="409" t="s">
        <v>360</v>
      </c>
      <c r="C10" s="411" t="s">
        <v>361</v>
      </c>
      <c r="D10" s="413" t="s">
        <v>364</v>
      </c>
      <c r="E10" s="411">
        <v>5</v>
      </c>
      <c r="F10" s="411" t="s">
        <v>362</v>
      </c>
      <c r="G10" s="412" t="s">
        <v>363</v>
      </c>
      <c r="H10" s="410">
        <v>43335</v>
      </c>
      <c r="I10" s="409" t="s">
        <v>221</v>
      </c>
      <c r="J10" s="409" t="s">
        <v>221</v>
      </c>
      <c r="K10" s="409">
        <v>1</v>
      </c>
      <c r="L10" s="411" t="s">
        <v>221</v>
      </c>
      <c r="M10" s="411" t="s">
        <v>222</v>
      </c>
      <c r="N10" s="415">
        <v>3</v>
      </c>
      <c r="O10" s="416">
        <f>2/7</f>
        <v>0.2857142857142857</v>
      </c>
      <c r="P10" s="422">
        <f t="shared" si="0"/>
        <v>8.6956521739130432E-2</v>
      </c>
      <c r="Q10" s="416" t="s">
        <v>220</v>
      </c>
      <c r="R10" s="409" t="s">
        <v>221</v>
      </c>
      <c r="S10" s="409" t="s">
        <v>221</v>
      </c>
      <c r="T10" s="417" t="s">
        <v>67</v>
      </c>
      <c r="U10" s="409" t="str">
        <f t="shared" si="1"/>
        <v>2018</v>
      </c>
      <c r="AA10" s="410"/>
      <c r="AD10" s="418"/>
    </row>
    <row r="11" spans="1:30" s="409" customFormat="1" ht="14.1" customHeight="1">
      <c r="A11" s="410">
        <v>44930</v>
      </c>
      <c r="B11" s="409" t="s">
        <v>360</v>
      </c>
      <c r="C11" s="411" t="s">
        <v>365</v>
      </c>
      <c r="D11" s="413" t="s">
        <v>368</v>
      </c>
      <c r="E11" s="411">
        <v>6</v>
      </c>
      <c r="F11" s="411" t="s">
        <v>366</v>
      </c>
      <c r="G11" s="412" t="s">
        <v>367</v>
      </c>
      <c r="H11" s="410">
        <v>43370</v>
      </c>
      <c r="I11" s="409" t="s">
        <v>221</v>
      </c>
      <c r="J11" s="409" t="s">
        <v>221</v>
      </c>
      <c r="K11" s="409">
        <v>1</v>
      </c>
      <c r="L11" s="411" t="s">
        <v>221</v>
      </c>
      <c r="M11" s="411" t="s">
        <v>224</v>
      </c>
      <c r="N11" s="415">
        <v>2</v>
      </c>
      <c r="O11" s="416">
        <v>1</v>
      </c>
      <c r="P11" s="422">
        <f t="shared" si="0"/>
        <v>0.33333333333333331</v>
      </c>
      <c r="Q11" s="416" t="s">
        <v>220</v>
      </c>
      <c r="R11" s="409" t="s">
        <v>221</v>
      </c>
      <c r="S11" s="409" t="s">
        <v>221</v>
      </c>
      <c r="T11" s="417" t="s">
        <v>369</v>
      </c>
      <c r="U11" s="409" t="str">
        <f t="shared" si="1"/>
        <v>2018</v>
      </c>
      <c r="AA11" s="410"/>
      <c r="AD11" s="418"/>
    </row>
    <row r="12" spans="1:30" s="409" customFormat="1" ht="14.1" customHeight="1">
      <c r="A12" s="410">
        <v>44931</v>
      </c>
      <c r="B12" s="409" t="s">
        <v>328</v>
      </c>
      <c r="C12" s="411" t="s">
        <v>370</v>
      </c>
      <c r="D12" s="413" t="s">
        <v>373</v>
      </c>
      <c r="E12" s="411">
        <v>20</v>
      </c>
      <c r="F12" s="411" t="s">
        <v>371</v>
      </c>
      <c r="G12" s="412" t="s">
        <v>372</v>
      </c>
      <c r="H12" s="410">
        <v>43549</v>
      </c>
      <c r="I12" s="409" t="s">
        <v>220</v>
      </c>
      <c r="J12" s="409" t="s">
        <v>220</v>
      </c>
      <c r="K12" s="409">
        <v>1</v>
      </c>
      <c r="L12" s="411" t="s">
        <v>221</v>
      </c>
      <c r="M12" s="411" t="s">
        <v>374</v>
      </c>
      <c r="N12" s="415">
        <v>0</v>
      </c>
      <c r="O12" s="416">
        <f>1+ 0.1</f>
        <v>1.1000000000000001</v>
      </c>
      <c r="P12" s="422">
        <f t="shared" si="0"/>
        <v>1</v>
      </c>
      <c r="Q12" s="416" t="s">
        <v>220</v>
      </c>
      <c r="R12" s="409" t="s">
        <v>220</v>
      </c>
      <c r="S12" s="409" t="s">
        <v>220</v>
      </c>
      <c r="T12" s="417" t="s">
        <v>375</v>
      </c>
      <c r="U12" s="409" t="str">
        <f t="shared" si="1"/>
        <v>2018</v>
      </c>
      <c r="AA12" s="410"/>
      <c r="AD12" s="418"/>
    </row>
    <row r="13" spans="1:30" s="409" customFormat="1" ht="14.1" customHeight="1">
      <c r="A13" s="410">
        <v>44942</v>
      </c>
      <c r="B13" s="409" t="s">
        <v>338</v>
      </c>
      <c r="C13" s="411" t="s">
        <v>376</v>
      </c>
      <c r="D13" s="413" t="s">
        <v>378</v>
      </c>
      <c r="E13" s="411">
        <v>6</v>
      </c>
      <c r="F13" s="411" t="s">
        <v>320</v>
      </c>
      <c r="G13" s="412" t="s">
        <v>377</v>
      </c>
      <c r="H13" s="410">
        <v>43349</v>
      </c>
      <c r="I13" s="409" t="s">
        <v>221</v>
      </c>
      <c r="J13" s="409" t="s">
        <v>221</v>
      </c>
      <c r="K13" s="409">
        <v>1</v>
      </c>
      <c r="L13" s="411" t="s">
        <v>221</v>
      </c>
      <c r="M13" s="411" t="s">
        <v>224</v>
      </c>
      <c r="N13" s="415">
        <v>2</v>
      </c>
      <c r="O13" s="416">
        <v>1</v>
      </c>
      <c r="P13" s="422">
        <f t="shared" si="0"/>
        <v>0.33333333333333331</v>
      </c>
      <c r="Q13" s="416" t="s">
        <v>220</v>
      </c>
      <c r="R13" s="409" t="s">
        <v>221</v>
      </c>
      <c r="S13" s="409" t="s">
        <v>221</v>
      </c>
      <c r="T13" s="417" t="s">
        <v>379</v>
      </c>
      <c r="U13" s="409" t="str">
        <f t="shared" si="1"/>
        <v>2018</v>
      </c>
      <c r="AA13" s="410"/>
      <c r="AD13" s="418"/>
    </row>
    <row r="14" spans="1:30" s="409" customFormat="1" ht="14.1" customHeight="1">
      <c r="A14" s="410">
        <v>44928</v>
      </c>
      <c r="B14" s="409" t="s">
        <v>323</v>
      </c>
      <c r="C14" s="411" t="s">
        <v>380</v>
      </c>
      <c r="D14" s="413" t="s">
        <v>383</v>
      </c>
      <c r="E14" s="411">
        <v>8</v>
      </c>
      <c r="F14" s="411" t="s">
        <v>381</v>
      </c>
      <c r="G14" s="412" t="s">
        <v>382</v>
      </c>
      <c r="H14" s="410">
        <v>43341</v>
      </c>
      <c r="I14" s="409" t="s">
        <v>221</v>
      </c>
      <c r="J14" s="409" t="s">
        <v>221</v>
      </c>
      <c r="K14" s="409">
        <v>1</v>
      </c>
      <c r="L14" s="411" t="s">
        <v>221</v>
      </c>
      <c r="M14" s="411" t="s">
        <v>222</v>
      </c>
      <c r="N14" s="415">
        <v>3</v>
      </c>
      <c r="O14" s="416">
        <f>1/7</f>
        <v>0.14285714285714285</v>
      </c>
      <c r="P14" s="422">
        <f t="shared" si="0"/>
        <v>4.5454545454545456E-2</v>
      </c>
      <c r="Q14" s="416" t="s">
        <v>220</v>
      </c>
      <c r="R14" s="409" t="s">
        <v>221</v>
      </c>
      <c r="S14" s="409" t="s">
        <v>221</v>
      </c>
      <c r="T14" s="417" t="s">
        <v>67</v>
      </c>
      <c r="U14" s="409" t="str">
        <f t="shared" si="1"/>
        <v>2018</v>
      </c>
      <c r="AA14" s="410"/>
      <c r="AD14" s="418"/>
    </row>
    <row r="15" spans="1:30" s="409" customFormat="1" ht="14.1" customHeight="1">
      <c r="A15" s="410">
        <v>44933</v>
      </c>
      <c r="B15" s="409" t="s">
        <v>328</v>
      </c>
      <c r="C15" s="411" t="s">
        <v>384</v>
      </c>
      <c r="D15" s="413" t="s">
        <v>387</v>
      </c>
      <c r="E15" s="411">
        <v>3</v>
      </c>
      <c r="F15" s="411" t="s">
        <v>385</v>
      </c>
      <c r="G15" s="412" t="s">
        <v>386</v>
      </c>
      <c r="H15" s="410">
        <v>43334</v>
      </c>
      <c r="I15" s="409" t="s">
        <v>221</v>
      </c>
      <c r="J15" s="409" t="s">
        <v>221</v>
      </c>
      <c r="K15" s="409">
        <v>1</v>
      </c>
      <c r="L15" s="411" t="s">
        <v>221</v>
      </c>
      <c r="M15" s="411" t="s">
        <v>388</v>
      </c>
      <c r="N15" s="415">
        <v>2</v>
      </c>
      <c r="O15" s="416">
        <f>1+0.1</f>
        <v>1.1000000000000001</v>
      </c>
      <c r="P15" s="422">
        <f t="shared" si="0"/>
        <v>0.35483870967741937</v>
      </c>
      <c r="Q15" s="416" t="s">
        <v>220</v>
      </c>
      <c r="R15" s="409" t="s">
        <v>221</v>
      </c>
      <c r="S15" s="409" t="s">
        <v>221</v>
      </c>
      <c r="T15" s="417" t="s">
        <v>67</v>
      </c>
      <c r="U15" s="409" t="str">
        <f t="shared" si="1"/>
        <v>2018</v>
      </c>
      <c r="AA15" s="410"/>
      <c r="AD15" s="418"/>
    </row>
    <row r="16" spans="1:30" s="409" customFormat="1" ht="14.1" customHeight="1">
      <c r="A16" s="410">
        <v>44937</v>
      </c>
      <c r="B16" s="409" t="s">
        <v>323</v>
      </c>
      <c r="C16" s="411" t="s">
        <v>389</v>
      </c>
      <c r="D16" s="413" t="s">
        <v>391</v>
      </c>
      <c r="E16" s="411">
        <v>7</v>
      </c>
      <c r="F16" s="411" t="s">
        <v>356</v>
      </c>
      <c r="G16" s="412" t="s">
        <v>390</v>
      </c>
      <c r="H16" s="410">
        <v>43284</v>
      </c>
      <c r="I16" s="409" t="s">
        <v>220</v>
      </c>
      <c r="J16" s="409" t="s">
        <v>220</v>
      </c>
      <c r="K16" s="409">
        <v>1</v>
      </c>
      <c r="L16" s="411" t="s">
        <v>221</v>
      </c>
      <c r="M16" s="411" t="s">
        <v>392</v>
      </c>
      <c r="N16" s="415">
        <v>0</v>
      </c>
      <c r="O16" s="416">
        <f>1+0.3</f>
        <v>1.3</v>
      </c>
      <c r="P16" s="422">
        <f t="shared" si="0"/>
        <v>1</v>
      </c>
      <c r="Q16" s="416" t="s">
        <v>220</v>
      </c>
      <c r="R16" s="409" t="s">
        <v>220</v>
      </c>
      <c r="S16" s="409" t="s">
        <v>220</v>
      </c>
      <c r="T16" s="417" t="s">
        <v>375</v>
      </c>
      <c r="U16" s="409" t="str">
        <f t="shared" si="1"/>
        <v>2018</v>
      </c>
      <c r="AA16" s="410"/>
      <c r="AD16" s="418"/>
    </row>
    <row r="17" spans="1:30" s="409" customFormat="1" ht="14.1" customHeight="1">
      <c r="A17" s="410">
        <v>44928</v>
      </c>
      <c r="B17" s="409" t="s">
        <v>338</v>
      </c>
      <c r="C17" s="411" t="s">
        <v>393</v>
      </c>
      <c r="D17" s="413" t="s">
        <v>396</v>
      </c>
      <c r="E17" s="411">
        <v>6</v>
      </c>
      <c r="F17" s="411" t="s">
        <v>394</v>
      </c>
      <c r="G17" s="412" t="s">
        <v>395</v>
      </c>
      <c r="H17" s="410">
        <v>43287</v>
      </c>
      <c r="I17" s="409" t="s">
        <v>221</v>
      </c>
      <c r="J17" s="409" t="s">
        <v>221</v>
      </c>
      <c r="K17" s="409">
        <v>1</v>
      </c>
      <c r="L17" s="411" t="s">
        <v>220</v>
      </c>
      <c r="M17" s="411"/>
      <c r="N17" s="415">
        <v>2</v>
      </c>
      <c r="O17" s="416">
        <v>0</v>
      </c>
      <c r="P17" s="422">
        <f t="shared" si="0"/>
        <v>0</v>
      </c>
      <c r="Q17" s="416" t="s">
        <v>220</v>
      </c>
      <c r="R17" s="409" t="s">
        <v>221</v>
      </c>
      <c r="S17" s="409" t="s">
        <v>221</v>
      </c>
      <c r="T17" s="417" t="s">
        <v>67</v>
      </c>
      <c r="U17" s="409" t="str">
        <f t="shared" si="1"/>
        <v>2018</v>
      </c>
      <c r="AA17" s="410"/>
      <c r="AD17" s="418"/>
    </row>
    <row r="18" spans="1:30" s="409" customFormat="1" ht="14.1" customHeight="1">
      <c r="A18" s="410">
        <v>44929</v>
      </c>
      <c r="B18" s="409" t="s">
        <v>338</v>
      </c>
      <c r="C18" s="411" t="s">
        <v>397</v>
      </c>
      <c r="D18" s="413" t="s">
        <v>400</v>
      </c>
      <c r="E18" s="411">
        <v>2</v>
      </c>
      <c r="F18" s="411" t="s">
        <v>398</v>
      </c>
      <c r="G18" s="412" t="s">
        <v>399</v>
      </c>
      <c r="H18" s="410">
        <v>43293</v>
      </c>
      <c r="I18" s="409" t="s">
        <v>221</v>
      </c>
      <c r="J18" s="409" t="s">
        <v>221</v>
      </c>
      <c r="K18" s="409">
        <v>1</v>
      </c>
      <c r="L18" s="411" t="s">
        <v>221</v>
      </c>
      <c r="M18" s="411" t="s">
        <v>222</v>
      </c>
      <c r="N18" s="415">
        <v>2</v>
      </c>
      <c r="O18" s="416">
        <v>1</v>
      </c>
      <c r="P18" s="422">
        <f t="shared" si="0"/>
        <v>0.33333333333333331</v>
      </c>
      <c r="Q18" s="416" t="s">
        <v>220</v>
      </c>
      <c r="R18" s="409" t="s">
        <v>221</v>
      </c>
      <c r="S18" s="409" t="s">
        <v>221</v>
      </c>
      <c r="T18" s="417" t="s">
        <v>67</v>
      </c>
      <c r="U18" s="409" t="str">
        <f t="shared" si="1"/>
        <v>2018</v>
      </c>
      <c r="AA18" s="410"/>
      <c r="AD18" s="418"/>
    </row>
    <row r="19" spans="1:30" s="409" customFormat="1" ht="14.1" customHeight="1">
      <c r="A19" s="410">
        <v>44928</v>
      </c>
      <c r="B19" s="409" t="s">
        <v>328</v>
      </c>
      <c r="C19" s="411" t="s">
        <v>401</v>
      </c>
      <c r="D19" s="413" t="s">
        <v>404</v>
      </c>
      <c r="E19" s="411">
        <v>7</v>
      </c>
      <c r="F19" s="411" t="s">
        <v>402</v>
      </c>
      <c r="G19" s="412" t="s">
        <v>403</v>
      </c>
      <c r="H19" s="410">
        <v>43285</v>
      </c>
      <c r="I19" s="409" t="s">
        <v>221</v>
      </c>
      <c r="J19" s="409" t="s">
        <v>221</v>
      </c>
      <c r="K19" s="409">
        <v>1</v>
      </c>
      <c r="L19" s="411" t="s">
        <v>220</v>
      </c>
      <c r="M19" s="411"/>
      <c r="N19" s="415">
        <v>3</v>
      </c>
      <c r="O19" s="416">
        <v>0</v>
      </c>
      <c r="P19" s="422">
        <f t="shared" si="0"/>
        <v>0</v>
      </c>
      <c r="Q19" s="416" t="s">
        <v>220</v>
      </c>
      <c r="R19" s="409" t="s">
        <v>221</v>
      </c>
      <c r="S19" s="409" t="s">
        <v>221</v>
      </c>
      <c r="T19" s="417" t="s">
        <v>67</v>
      </c>
      <c r="U19" s="409" t="str">
        <f t="shared" si="1"/>
        <v>2018</v>
      </c>
      <c r="AA19" s="410"/>
      <c r="AD19" s="418"/>
    </row>
    <row r="20" spans="1:30" s="409" customFormat="1" ht="14.1" customHeight="1">
      <c r="A20" s="410">
        <v>44929</v>
      </c>
      <c r="B20" s="409" t="s">
        <v>360</v>
      </c>
      <c r="C20" s="411" t="s">
        <v>405</v>
      </c>
      <c r="D20" s="413" t="s">
        <v>407</v>
      </c>
      <c r="E20" s="411">
        <v>4</v>
      </c>
      <c r="F20" s="411" t="s">
        <v>398</v>
      </c>
      <c r="G20" s="412" t="s">
        <v>406</v>
      </c>
      <c r="H20" s="410">
        <v>43288</v>
      </c>
      <c r="I20" s="409" t="s">
        <v>221</v>
      </c>
      <c r="J20" s="409" t="s">
        <v>221</v>
      </c>
      <c r="K20" s="409">
        <v>1</v>
      </c>
      <c r="L20" s="411" t="s">
        <v>220</v>
      </c>
      <c r="M20" s="411"/>
      <c r="N20" s="415">
        <v>2</v>
      </c>
      <c r="O20" s="416">
        <v>0</v>
      </c>
      <c r="P20" s="422">
        <f t="shared" si="0"/>
        <v>0</v>
      </c>
      <c r="Q20" s="416" t="s">
        <v>220</v>
      </c>
      <c r="R20" s="409" t="s">
        <v>221</v>
      </c>
      <c r="S20" s="409" t="s">
        <v>221</v>
      </c>
      <c r="T20" s="417" t="s">
        <v>67</v>
      </c>
      <c r="U20" s="409" t="str">
        <f t="shared" si="1"/>
        <v>2018</v>
      </c>
      <c r="AA20" s="410"/>
      <c r="AD20" s="418"/>
    </row>
    <row r="21" spans="1:30" s="409" customFormat="1" ht="14.1" customHeight="1">
      <c r="A21" s="410">
        <v>44942</v>
      </c>
      <c r="B21" s="409" t="s">
        <v>338</v>
      </c>
      <c r="C21" s="411" t="s">
        <v>408</v>
      </c>
      <c r="D21" s="413" t="s">
        <v>410</v>
      </c>
      <c r="E21" s="411">
        <v>5</v>
      </c>
      <c r="F21" s="411" t="s">
        <v>320</v>
      </c>
      <c r="G21" s="412" t="s">
        <v>409</v>
      </c>
      <c r="H21" s="410">
        <v>43298</v>
      </c>
      <c r="I21" s="409" t="s">
        <v>221</v>
      </c>
      <c r="J21" s="409" t="s">
        <v>221</v>
      </c>
      <c r="K21" s="409">
        <v>1</v>
      </c>
      <c r="L21" s="411" t="s">
        <v>220</v>
      </c>
      <c r="M21" s="411"/>
      <c r="N21" s="415">
        <v>2</v>
      </c>
      <c r="O21" s="416">
        <v>0</v>
      </c>
      <c r="P21" s="422">
        <f t="shared" si="0"/>
        <v>0</v>
      </c>
      <c r="Q21" s="416" t="s">
        <v>220</v>
      </c>
      <c r="R21" s="409" t="s">
        <v>221</v>
      </c>
      <c r="S21" s="409" t="s">
        <v>221</v>
      </c>
      <c r="T21" s="417" t="s">
        <v>67</v>
      </c>
      <c r="U21" s="409" t="str">
        <f t="shared" si="1"/>
        <v>2018</v>
      </c>
      <c r="AA21" s="410"/>
      <c r="AD21" s="418"/>
    </row>
    <row r="22" spans="1:30" s="409" customFormat="1" ht="14.1" customHeight="1">
      <c r="A22" s="410">
        <v>44931</v>
      </c>
      <c r="B22" s="409" t="s">
        <v>323</v>
      </c>
      <c r="C22" s="411" t="s">
        <v>411</v>
      </c>
      <c r="D22" s="413" t="s">
        <v>414</v>
      </c>
      <c r="E22" s="411">
        <v>4</v>
      </c>
      <c r="F22" s="411" t="s">
        <v>412</v>
      </c>
      <c r="G22" s="412" t="s">
        <v>413</v>
      </c>
      <c r="H22" s="410">
        <v>43293</v>
      </c>
      <c r="I22" s="409" t="s">
        <v>221</v>
      </c>
      <c r="J22" s="409" t="s">
        <v>221</v>
      </c>
      <c r="K22" s="409">
        <v>1</v>
      </c>
      <c r="L22" s="411" t="s">
        <v>220</v>
      </c>
      <c r="M22" s="411"/>
      <c r="N22" s="415">
        <v>2</v>
      </c>
      <c r="O22" s="416">
        <v>0</v>
      </c>
      <c r="P22" s="422">
        <f t="shared" si="0"/>
        <v>0</v>
      </c>
      <c r="Q22" s="416" t="s">
        <v>220</v>
      </c>
      <c r="R22" s="409" t="s">
        <v>221</v>
      </c>
      <c r="S22" s="409" t="s">
        <v>221</v>
      </c>
      <c r="T22" s="417" t="s">
        <v>67</v>
      </c>
      <c r="U22" s="409" t="str">
        <f t="shared" si="1"/>
        <v>2018</v>
      </c>
      <c r="AA22" s="410"/>
      <c r="AD22" s="418"/>
    </row>
    <row r="23" spans="1:30" s="409" customFormat="1" ht="14.1" customHeight="1">
      <c r="A23" s="410">
        <v>44931</v>
      </c>
      <c r="B23" s="409" t="s">
        <v>328</v>
      </c>
      <c r="C23" s="411" t="s">
        <v>415</v>
      </c>
      <c r="D23" s="413" t="s">
        <v>417</v>
      </c>
      <c r="E23" s="411">
        <v>3</v>
      </c>
      <c r="F23" s="411" t="s">
        <v>412</v>
      </c>
      <c r="G23" s="412" t="s">
        <v>416</v>
      </c>
      <c r="H23" s="410">
        <v>43293</v>
      </c>
      <c r="I23" s="409" t="s">
        <v>221</v>
      </c>
      <c r="J23" s="409" t="s">
        <v>221</v>
      </c>
      <c r="K23" s="409">
        <v>1</v>
      </c>
      <c r="L23" s="411" t="s">
        <v>221</v>
      </c>
      <c r="M23" s="411" t="s">
        <v>222</v>
      </c>
      <c r="N23" s="415">
        <v>2</v>
      </c>
      <c r="O23" s="416">
        <v>1</v>
      </c>
      <c r="P23" s="422">
        <f t="shared" si="0"/>
        <v>0.33333333333333331</v>
      </c>
      <c r="Q23" s="416" t="s">
        <v>220</v>
      </c>
      <c r="R23" s="409" t="s">
        <v>221</v>
      </c>
      <c r="S23" s="409" t="s">
        <v>221</v>
      </c>
      <c r="T23" s="417" t="s">
        <v>67</v>
      </c>
      <c r="U23" s="409" t="str">
        <f t="shared" si="1"/>
        <v>2018</v>
      </c>
      <c r="AA23" s="410"/>
      <c r="AD23" s="418"/>
    </row>
    <row r="24" spans="1:30" s="409" customFormat="1" ht="14.1" customHeight="1">
      <c r="A24" s="410">
        <v>44938</v>
      </c>
      <c r="B24" s="409" t="s">
        <v>338</v>
      </c>
      <c r="C24" s="411" t="s">
        <v>418</v>
      </c>
      <c r="D24" s="413" t="s">
        <v>421</v>
      </c>
      <c r="E24" s="411">
        <v>12</v>
      </c>
      <c r="F24" s="411" t="s">
        <v>419</v>
      </c>
      <c r="G24" s="412" t="s">
        <v>420</v>
      </c>
      <c r="H24" s="410">
        <v>43291</v>
      </c>
      <c r="I24" s="409" t="s">
        <v>220</v>
      </c>
      <c r="J24" s="409" t="s">
        <v>220</v>
      </c>
      <c r="K24" s="409">
        <v>1</v>
      </c>
      <c r="L24" s="411" t="s">
        <v>221</v>
      </c>
      <c r="M24" s="411" t="s">
        <v>224</v>
      </c>
      <c r="N24" s="415">
        <v>0</v>
      </c>
      <c r="O24" s="416">
        <f>1/7</f>
        <v>0.14285714285714285</v>
      </c>
      <c r="P24" s="422">
        <f t="shared" si="0"/>
        <v>1</v>
      </c>
      <c r="Q24" s="416" t="s">
        <v>220</v>
      </c>
      <c r="R24" s="409" t="s">
        <v>220</v>
      </c>
      <c r="S24" s="409" t="s">
        <v>220</v>
      </c>
      <c r="T24" s="417" t="s">
        <v>334</v>
      </c>
      <c r="U24" s="409" t="str">
        <f t="shared" si="1"/>
        <v>2018</v>
      </c>
      <c r="AA24" s="410"/>
      <c r="AD24" s="418"/>
    </row>
    <row r="25" spans="1:30" s="409" customFormat="1" ht="14.1" customHeight="1">
      <c r="A25" s="410">
        <v>44942</v>
      </c>
      <c r="B25" s="409" t="s">
        <v>360</v>
      </c>
      <c r="C25" s="411" t="s">
        <v>422</v>
      </c>
      <c r="D25" s="413" t="s">
        <v>424</v>
      </c>
      <c r="E25" s="411">
        <v>3</v>
      </c>
      <c r="F25" s="411" t="s">
        <v>320</v>
      </c>
      <c r="G25" s="412" t="s">
        <v>423</v>
      </c>
      <c r="H25" s="410">
        <v>43531</v>
      </c>
      <c r="I25" s="409" t="s">
        <v>221</v>
      </c>
      <c r="J25" s="409" t="s">
        <v>221</v>
      </c>
      <c r="K25" s="409">
        <v>1</v>
      </c>
      <c r="L25" s="411" t="s">
        <v>221</v>
      </c>
      <c r="M25" s="411" t="s">
        <v>225</v>
      </c>
      <c r="N25" s="415">
        <v>2</v>
      </c>
      <c r="O25" s="416">
        <v>1</v>
      </c>
      <c r="P25" s="422">
        <f t="shared" si="0"/>
        <v>0.33333333333333331</v>
      </c>
      <c r="Q25" s="416" t="s">
        <v>220</v>
      </c>
      <c r="R25" s="409" t="s">
        <v>221</v>
      </c>
      <c r="S25" s="409" t="s">
        <v>221</v>
      </c>
      <c r="T25" s="417" t="s">
        <v>67</v>
      </c>
      <c r="U25" s="409" t="str">
        <f t="shared" si="1"/>
        <v>2018</v>
      </c>
      <c r="AA25" s="410"/>
      <c r="AD25" s="418"/>
    </row>
    <row r="26" spans="1:30" s="409" customFormat="1" ht="14.1" customHeight="1">
      <c r="A26" s="410">
        <v>44942</v>
      </c>
      <c r="B26" s="409" t="s">
        <v>360</v>
      </c>
      <c r="C26" s="411" t="s">
        <v>425</v>
      </c>
      <c r="D26" s="413" t="s">
        <v>427</v>
      </c>
      <c r="E26" s="411">
        <v>8</v>
      </c>
      <c r="F26" s="411" t="s">
        <v>330</v>
      </c>
      <c r="G26" s="412" t="s">
        <v>426</v>
      </c>
      <c r="H26" s="410">
        <v>43510</v>
      </c>
      <c r="I26" s="409" t="s">
        <v>221</v>
      </c>
      <c r="J26" s="409" t="s">
        <v>221</v>
      </c>
      <c r="K26" s="409">
        <v>1</v>
      </c>
      <c r="L26" s="411" t="s">
        <v>221</v>
      </c>
      <c r="M26" s="411" t="s">
        <v>428</v>
      </c>
      <c r="N26" s="415">
        <v>3</v>
      </c>
      <c r="O26" s="416">
        <f>0.1+0.1</f>
        <v>0.2</v>
      </c>
      <c r="P26" s="422">
        <f t="shared" si="0"/>
        <v>6.25E-2</v>
      </c>
      <c r="Q26" s="416" t="s">
        <v>220</v>
      </c>
      <c r="R26" s="409" t="s">
        <v>221</v>
      </c>
      <c r="S26" s="409" t="s">
        <v>221</v>
      </c>
      <c r="T26" s="417" t="s">
        <v>67</v>
      </c>
      <c r="U26" s="409" t="str">
        <f t="shared" si="1"/>
        <v>2018</v>
      </c>
      <c r="AA26" s="410"/>
      <c r="AD26" s="418"/>
    </row>
    <row r="27" spans="1:30" s="409" customFormat="1" ht="14.1" customHeight="1">
      <c r="A27" s="410">
        <v>44942</v>
      </c>
      <c r="B27" s="409" t="s">
        <v>323</v>
      </c>
      <c r="C27" s="411" t="s">
        <v>429</v>
      </c>
      <c r="D27" s="413" t="s">
        <v>432</v>
      </c>
      <c r="E27" s="411">
        <v>6</v>
      </c>
      <c r="F27" s="411" t="s">
        <v>430</v>
      </c>
      <c r="G27" s="412" t="s">
        <v>431</v>
      </c>
      <c r="H27" s="410">
        <v>43503</v>
      </c>
      <c r="I27" s="409" t="s">
        <v>221</v>
      </c>
      <c r="J27" s="409" t="s">
        <v>221</v>
      </c>
      <c r="K27" s="409">
        <v>1</v>
      </c>
      <c r="L27" s="411" t="s">
        <v>221</v>
      </c>
      <c r="M27" s="411" t="s">
        <v>222</v>
      </c>
      <c r="N27" s="415">
        <v>2</v>
      </c>
      <c r="O27" s="416">
        <v>1</v>
      </c>
      <c r="P27" s="422">
        <f t="shared" si="0"/>
        <v>0.33333333333333331</v>
      </c>
      <c r="Q27" s="416" t="s">
        <v>220</v>
      </c>
      <c r="R27" s="409" t="s">
        <v>221</v>
      </c>
      <c r="S27" s="409" t="s">
        <v>221</v>
      </c>
      <c r="T27" s="417" t="s">
        <v>67</v>
      </c>
      <c r="U27" s="409" t="str">
        <f t="shared" si="1"/>
        <v>2018</v>
      </c>
      <c r="AA27" s="410"/>
      <c r="AD27" s="418"/>
    </row>
    <row r="28" spans="1:30" s="409" customFormat="1" ht="14.1" customHeight="1">
      <c r="A28" s="410">
        <v>44930</v>
      </c>
      <c r="B28" s="409" t="s">
        <v>328</v>
      </c>
      <c r="C28" s="411" t="s">
        <v>433</v>
      </c>
      <c r="D28" s="413" t="s">
        <v>436</v>
      </c>
      <c r="E28" s="411">
        <v>4</v>
      </c>
      <c r="F28" s="411" t="s">
        <v>434</v>
      </c>
      <c r="G28" s="412" t="s">
        <v>435</v>
      </c>
      <c r="H28" s="410">
        <v>43370</v>
      </c>
      <c r="I28" s="409" t="s">
        <v>221</v>
      </c>
      <c r="J28" s="409" t="s">
        <v>221</v>
      </c>
      <c r="K28" s="409">
        <v>1</v>
      </c>
      <c r="L28" s="411" t="s">
        <v>221</v>
      </c>
      <c r="M28" s="411" t="s">
        <v>222</v>
      </c>
      <c r="N28" s="415">
        <v>2</v>
      </c>
      <c r="O28" s="416">
        <v>1</v>
      </c>
      <c r="P28" s="422">
        <f t="shared" si="0"/>
        <v>0.33333333333333331</v>
      </c>
      <c r="Q28" s="416" t="s">
        <v>220</v>
      </c>
      <c r="R28" s="409" t="s">
        <v>221</v>
      </c>
      <c r="S28" s="409" t="s">
        <v>221</v>
      </c>
      <c r="T28" s="417" t="s">
        <v>67</v>
      </c>
      <c r="U28" s="409" t="str">
        <f t="shared" si="1"/>
        <v>2018</v>
      </c>
      <c r="AA28" s="410"/>
      <c r="AD28" s="418"/>
    </row>
    <row r="29" spans="1:30" s="409" customFormat="1" ht="14.1" customHeight="1">
      <c r="A29" s="410">
        <v>44937</v>
      </c>
      <c r="B29" s="409" t="s">
        <v>328</v>
      </c>
      <c r="C29" s="411" t="s">
        <v>231</v>
      </c>
      <c r="D29" s="413" t="s">
        <v>438</v>
      </c>
      <c r="E29" s="411">
        <v>7</v>
      </c>
      <c r="F29" s="411" t="s">
        <v>356</v>
      </c>
      <c r="G29" s="412" t="s">
        <v>437</v>
      </c>
      <c r="H29" s="410">
        <v>43395</v>
      </c>
      <c r="I29" s="409" t="s">
        <v>220</v>
      </c>
      <c r="J29" s="409" t="s">
        <v>220</v>
      </c>
      <c r="K29" s="409">
        <v>1</v>
      </c>
      <c r="L29" s="411" t="s">
        <v>221</v>
      </c>
      <c r="M29" s="411" t="s">
        <v>224</v>
      </c>
      <c r="N29" s="415">
        <v>0</v>
      </c>
      <c r="O29" s="416">
        <v>1</v>
      </c>
      <c r="P29" s="422">
        <f t="shared" si="0"/>
        <v>1</v>
      </c>
      <c r="Q29" s="416" t="s">
        <v>220</v>
      </c>
      <c r="R29" s="409" t="s">
        <v>220</v>
      </c>
      <c r="S29" s="409" t="s">
        <v>220</v>
      </c>
      <c r="T29" s="417" t="s">
        <v>334</v>
      </c>
      <c r="U29" s="409" t="str">
        <f t="shared" si="1"/>
        <v>2018</v>
      </c>
      <c r="AA29" s="410"/>
      <c r="AD29" s="418"/>
    </row>
    <row r="30" spans="1:30" s="409" customFormat="1" ht="14.1" customHeight="1">
      <c r="A30" s="410">
        <v>44930</v>
      </c>
      <c r="B30" s="409" t="s">
        <v>338</v>
      </c>
      <c r="C30" s="411" t="s">
        <v>439</v>
      </c>
      <c r="D30" s="413" t="s">
        <v>441</v>
      </c>
      <c r="E30" s="411">
        <v>5</v>
      </c>
      <c r="F30" s="411" t="s">
        <v>434</v>
      </c>
      <c r="G30" s="412" t="s">
        <v>440</v>
      </c>
      <c r="H30" s="410">
        <v>43346</v>
      </c>
      <c r="I30" s="409" t="s">
        <v>221</v>
      </c>
      <c r="J30" s="409" t="s">
        <v>221</v>
      </c>
      <c r="K30" s="409">
        <v>1</v>
      </c>
      <c r="L30" s="411" t="s">
        <v>221</v>
      </c>
      <c r="M30" s="411" t="s">
        <v>442</v>
      </c>
      <c r="N30" s="415">
        <v>3</v>
      </c>
      <c r="O30" s="416">
        <v>1</v>
      </c>
      <c r="P30" s="422">
        <f t="shared" si="0"/>
        <v>0.25</v>
      </c>
      <c r="Q30" s="416" t="s">
        <v>220</v>
      </c>
      <c r="R30" s="409" t="s">
        <v>221</v>
      </c>
      <c r="S30" s="409" t="s">
        <v>221</v>
      </c>
      <c r="T30" s="417" t="s">
        <v>67</v>
      </c>
      <c r="U30" s="409" t="str">
        <f t="shared" si="1"/>
        <v>2018</v>
      </c>
      <c r="AA30" s="410"/>
      <c r="AD30" s="418"/>
    </row>
    <row r="31" spans="1:30" s="409" customFormat="1" ht="14.1" customHeight="1">
      <c r="A31" s="410">
        <v>44939</v>
      </c>
      <c r="B31" s="409" t="s">
        <v>328</v>
      </c>
      <c r="C31" s="411" t="s">
        <v>443</v>
      </c>
      <c r="D31" s="413" t="s">
        <v>446</v>
      </c>
      <c r="E31" s="411">
        <v>4</v>
      </c>
      <c r="F31" s="411" t="s">
        <v>444</v>
      </c>
      <c r="G31" s="412" t="s">
        <v>445</v>
      </c>
      <c r="H31" s="410">
        <v>43602</v>
      </c>
      <c r="I31" s="409" t="s">
        <v>221</v>
      </c>
      <c r="J31" s="409" t="s">
        <v>221</v>
      </c>
      <c r="K31" s="409">
        <v>1</v>
      </c>
      <c r="L31" s="411" t="s">
        <v>220</v>
      </c>
      <c r="M31" s="411"/>
      <c r="N31" s="415">
        <v>2</v>
      </c>
      <c r="O31" s="416"/>
      <c r="P31" s="422">
        <f t="shared" si="0"/>
        <v>0</v>
      </c>
      <c r="Q31" s="416" t="s">
        <v>220</v>
      </c>
      <c r="R31" s="409" t="s">
        <v>221</v>
      </c>
      <c r="S31" s="409" t="s">
        <v>221</v>
      </c>
      <c r="T31" s="417" t="s">
        <v>67</v>
      </c>
      <c r="U31" s="409" t="str">
        <f t="shared" si="1"/>
        <v>2018</v>
      </c>
      <c r="AA31" s="410"/>
      <c r="AD31" s="418"/>
    </row>
    <row r="32" spans="1:30" s="409" customFormat="1" ht="14.1" customHeight="1">
      <c r="A32" s="410">
        <v>44932</v>
      </c>
      <c r="B32" s="409" t="s">
        <v>323</v>
      </c>
      <c r="C32" s="411" t="s">
        <v>447</v>
      </c>
      <c r="D32" s="413" t="s">
        <v>450</v>
      </c>
      <c r="E32" s="411">
        <v>4</v>
      </c>
      <c r="F32" s="411" t="s">
        <v>448</v>
      </c>
      <c r="G32" s="412" t="s">
        <v>449</v>
      </c>
      <c r="H32" s="410">
        <v>43593</v>
      </c>
      <c r="I32" s="409" t="s">
        <v>221</v>
      </c>
      <c r="J32" s="409" t="s">
        <v>221</v>
      </c>
      <c r="K32" s="409">
        <v>1</v>
      </c>
      <c r="L32" s="411" t="s">
        <v>221</v>
      </c>
      <c r="M32" s="411" t="s">
        <v>442</v>
      </c>
      <c r="N32" s="415">
        <v>3</v>
      </c>
      <c r="O32" s="416">
        <f>1/7</f>
        <v>0.14285714285714285</v>
      </c>
      <c r="P32" s="422">
        <f t="shared" si="0"/>
        <v>4.5454545454545456E-2</v>
      </c>
      <c r="Q32" s="416" t="s">
        <v>220</v>
      </c>
      <c r="R32" s="409" t="s">
        <v>221</v>
      </c>
      <c r="S32" s="409" t="s">
        <v>221</v>
      </c>
      <c r="T32" s="417" t="s">
        <v>67</v>
      </c>
      <c r="U32" s="409" t="str">
        <f t="shared" si="1"/>
        <v>2018</v>
      </c>
      <c r="AA32" s="410"/>
      <c r="AD32" s="418"/>
    </row>
    <row r="33" spans="1:30" s="409" customFormat="1" ht="14.1" customHeight="1">
      <c r="A33" s="410">
        <v>44946</v>
      </c>
      <c r="B33" s="409" t="s">
        <v>323</v>
      </c>
      <c r="C33" s="411" t="s">
        <v>451</v>
      </c>
      <c r="D33" s="413" t="s">
        <v>454</v>
      </c>
      <c r="E33" s="411">
        <v>6</v>
      </c>
      <c r="F33" s="411" t="s">
        <v>452</v>
      </c>
      <c r="G33" s="412" t="s">
        <v>453</v>
      </c>
      <c r="H33" s="410">
        <v>43601</v>
      </c>
      <c r="I33" s="409" t="s">
        <v>221</v>
      </c>
      <c r="J33" s="409" t="s">
        <v>221</v>
      </c>
      <c r="K33" s="409">
        <v>1</v>
      </c>
      <c r="L33" s="411" t="s">
        <v>221</v>
      </c>
      <c r="M33" s="411" t="s">
        <v>442</v>
      </c>
      <c r="N33" s="415">
        <v>3</v>
      </c>
      <c r="O33" s="416">
        <f>1/7</f>
        <v>0.14285714285714285</v>
      </c>
      <c r="P33" s="422">
        <f t="shared" si="0"/>
        <v>4.5454545454545456E-2</v>
      </c>
      <c r="Q33" s="416" t="s">
        <v>220</v>
      </c>
      <c r="R33" s="409" t="s">
        <v>221</v>
      </c>
      <c r="S33" s="409" t="s">
        <v>221</v>
      </c>
      <c r="T33" s="417" t="s">
        <v>67</v>
      </c>
      <c r="U33" s="409" t="str">
        <f t="shared" si="1"/>
        <v>2018</v>
      </c>
      <c r="AA33" s="410"/>
      <c r="AD33" s="418"/>
    </row>
    <row r="34" spans="1:30" s="409" customFormat="1" ht="14.1" customHeight="1">
      <c r="A34" s="410">
        <v>44943</v>
      </c>
      <c r="B34" s="409" t="s">
        <v>323</v>
      </c>
      <c r="C34" s="411" t="s">
        <v>455</v>
      </c>
      <c r="D34" s="413" t="s">
        <v>457</v>
      </c>
      <c r="E34" s="411">
        <v>7</v>
      </c>
      <c r="F34" s="411" t="s">
        <v>340</v>
      </c>
      <c r="G34" s="412" t="s">
        <v>456</v>
      </c>
      <c r="H34" s="410">
        <v>43647</v>
      </c>
      <c r="I34" s="409" t="s">
        <v>221</v>
      </c>
      <c r="J34" s="409" t="s">
        <v>221</v>
      </c>
      <c r="K34" s="409">
        <v>2</v>
      </c>
      <c r="L34" s="411" t="s">
        <v>221</v>
      </c>
      <c r="M34" s="411" t="s">
        <v>225</v>
      </c>
      <c r="N34" s="415">
        <v>3</v>
      </c>
      <c r="O34" s="416">
        <v>2</v>
      </c>
      <c r="P34" s="422">
        <f t="shared" si="0"/>
        <v>0.4</v>
      </c>
      <c r="Q34" s="416" t="s">
        <v>220</v>
      </c>
      <c r="R34" s="409" t="s">
        <v>221</v>
      </c>
      <c r="S34" s="409" t="s">
        <v>221</v>
      </c>
      <c r="T34" s="417" t="s">
        <v>67</v>
      </c>
      <c r="U34" s="409" t="str">
        <f t="shared" si="1"/>
        <v>2019</v>
      </c>
      <c r="AA34" s="410"/>
      <c r="AD34" s="418"/>
    </row>
    <row r="35" spans="1:30" s="409" customFormat="1" ht="14.1" customHeight="1">
      <c r="A35" s="410">
        <v>44938</v>
      </c>
      <c r="B35" s="409" t="s">
        <v>338</v>
      </c>
      <c r="C35" s="411" t="s">
        <v>458</v>
      </c>
      <c r="D35" s="413" t="s">
        <v>460</v>
      </c>
      <c r="E35" s="411">
        <v>3</v>
      </c>
      <c r="F35" s="411" t="s">
        <v>347</v>
      </c>
      <c r="G35" s="412" t="s">
        <v>459</v>
      </c>
      <c r="H35" s="410">
        <v>43774</v>
      </c>
      <c r="I35" s="409" t="s">
        <v>221</v>
      </c>
      <c r="J35" s="409" t="s">
        <v>221</v>
      </c>
      <c r="K35" s="409">
        <v>1</v>
      </c>
      <c r="L35" s="411" t="s">
        <v>220</v>
      </c>
      <c r="M35" s="411"/>
      <c r="N35" s="415">
        <v>3</v>
      </c>
      <c r="O35" s="416"/>
      <c r="P35" s="422">
        <f t="shared" si="0"/>
        <v>0</v>
      </c>
      <c r="Q35" s="416" t="s">
        <v>220</v>
      </c>
      <c r="R35" s="409" t="s">
        <v>221</v>
      </c>
      <c r="S35" s="409" t="s">
        <v>221</v>
      </c>
      <c r="T35" s="417" t="s">
        <v>67</v>
      </c>
      <c r="U35" s="409" t="str">
        <f t="shared" si="1"/>
        <v>2019</v>
      </c>
      <c r="AA35" s="410"/>
      <c r="AD35" s="418"/>
    </row>
    <row r="36" spans="1:30" s="409" customFormat="1" ht="14.1" customHeight="1">
      <c r="A36" s="410">
        <v>44940</v>
      </c>
      <c r="B36" s="409" t="s">
        <v>338</v>
      </c>
      <c r="C36" s="411" t="s">
        <v>461</v>
      </c>
      <c r="D36" s="413" t="s">
        <v>463</v>
      </c>
      <c r="E36" s="411">
        <v>8</v>
      </c>
      <c r="F36" s="411" t="s">
        <v>330</v>
      </c>
      <c r="G36" s="412" t="s">
        <v>462</v>
      </c>
      <c r="H36" s="410">
        <v>43510</v>
      </c>
      <c r="I36" s="409" t="s">
        <v>221</v>
      </c>
      <c r="J36" s="409" t="s">
        <v>221</v>
      </c>
      <c r="K36" s="409">
        <v>1</v>
      </c>
      <c r="L36" s="411" t="s">
        <v>221</v>
      </c>
      <c r="M36" s="411" t="s">
        <v>224</v>
      </c>
      <c r="N36" s="415">
        <v>2</v>
      </c>
      <c r="O36" s="416">
        <f>1/7</f>
        <v>0.14285714285714285</v>
      </c>
      <c r="P36" s="422">
        <f t="shared" si="0"/>
        <v>6.6666666666666666E-2</v>
      </c>
      <c r="Q36" s="416" t="s">
        <v>220</v>
      </c>
      <c r="R36" s="409" t="s">
        <v>221</v>
      </c>
      <c r="S36" s="409" t="s">
        <v>221</v>
      </c>
      <c r="T36" s="417" t="s">
        <v>464</v>
      </c>
      <c r="U36" s="409" t="str">
        <f t="shared" si="1"/>
        <v>2018</v>
      </c>
      <c r="AA36" s="410"/>
      <c r="AD36" s="418"/>
    </row>
    <row r="37" spans="1:30" s="409" customFormat="1" ht="14.1" customHeight="1">
      <c r="A37" s="410">
        <v>44933</v>
      </c>
      <c r="B37" s="409" t="s">
        <v>323</v>
      </c>
      <c r="C37" s="411" t="s">
        <v>465</v>
      </c>
      <c r="D37" s="413" t="s">
        <v>468</v>
      </c>
      <c r="E37" s="411">
        <v>5</v>
      </c>
      <c r="F37" s="411" t="s">
        <v>466</v>
      </c>
      <c r="G37" s="412" t="s">
        <v>467</v>
      </c>
      <c r="H37" s="410">
        <v>43601</v>
      </c>
      <c r="I37" s="409" t="s">
        <v>221</v>
      </c>
      <c r="J37" s="409" t="s">
        <v>221</v>
      </c>
      <c r="K37" s="409">
        <v>1</v>
      </c>
      <c r="L37" s="411" t="s">
        <v>221</v>
      </c>
      <c r="M37" s="411" t="s">
        <v>224</v>
      </c>
      <c r="N37" s="415">
        <v>2</v>
      </c>
      <c r="O37" s="416">
        <v>1</v>
      </c>
      <c r="P37" s="422">
        <f t="shared" si="0"/>
        <v>0.33333333333333331</v>
      </c>
      <c r="Q37" s="416" t="s">
        <v>220</v>
      </c>
      <c r="R37" s="409" t="s">
        <v>221</v>
      </c>
      <c r="S37" s="409" t="s">
        <v>221</v>
      </c>
      <c r="T37" s="417" t="s">
        <v>67</v>
      </c>
      <c r="U37" s="409" t="str">
        <f t="shared" si="1"/>
        <v>2018</v>
      </c>
      <c r="AA37" s="410"/>
      <c r="AD37" s="418"/>
    </row>
    <row r="38" spans="1:30" s="409" customFormat="1" ht="14.1" customHeight="1">
      <c r="A38" s="410">
        <v>44928</v>
      </c>
      <c r="B38" s="409" t="s">
        <v>338</v>
      </c>
      <c r="C38" s="411" t="s">
        <v>469</v>
      </c>
      <c r="D38" s="413" t="s">
        <v>472</v>
      </c>
      <c r="E38" s="411">
        <v>6</v>
      </c>
      <c r="F38" s="411" t="s">
        <v>470</v>
      </c>
      <c r="G38" s="412" t="s">
        <v>471</v>
      </c>
      <c r="H38" s="410">
        <v>43446</v>
      </c>
      <c r="I38" s="409" t="s">
        <v>221</v>
      </c>
      <c r="J38" s="409" t="s">
        <v>221</v>
      </c>
      <c r="K38" s="409">
        <v>2</v>
      </c>
      <c r="L38" s="411" t="s">
        <v>220</v>
      </c>
      <c r="M38" s="411"/>
      <c r="N38" s="415">
        <v>3</v>
      </c>
      <c r="O38" s="416"/>
      <c r="P38" s="422">
        <f t="shared" si="0"/>
        <v>0</v>
      </c>
      <c r="Q38" s="416" t="s">
        <v>220</v>
      </c>
      <c r="R38" s="409" t="s">
        <v>221</v>
      </c>
      <c r="S38" s="409" t="s">
        <v>221</v>
      </c>
      <c r="T38" s="417" t="s">
        <v>67</v>
      </c>
      <c r="U38" s="409" t="str">
        <f t="shared" si="1"/>
        <v>2018</v>
      </c>
      <c r="AA38" s="410"/>
      <c r="AD38" s="418"/>
    </row>
    <row r="39" spans="1:30" s="409" customFormat="1" ht="14.1" customHeight="1">
      <c r="A39" s="410">
        <v>44928</v>
      </c>
      <c r="B39" s="409" t="s">
        <v>338</v>
      </c>
      <c r="C39" s="411" t="s">
        <v>473</v>
      </c>
      <c r="D39" s="413" t="s">
        <v>475</v>
      </c>
      <c r="E39" s="411">
        <v>3</v>
      </c>
      <c r="F39" s="411" t="s">
        <v>470</v>
      </c>
      <c r="G39" s="412" t="s">
        <v>474</v>
      </c>
      <c r="H39" s="410">
        <v>43490</v>
      </c>
      <c r="I39" s="409" t="s">
        <v>221</v>
      </c>
      <c r="J39" s="409" t="s">
        <v>221</v>
      </c>
      <c r="K39" s="409">
        <v>1</v>
      </c>
      <c r="L39" s="411" t="s">
        <v>221</v>
      </c>
      <c r="M39" s="411" t="s">
        <v>224</v>
      </c>
      <c r="N39" s="415">
        <v>2</v>
      </c>
      <c r="O39" s="416">
        <f>2/7</f>
        <v>0.2857142857142857</v>
      </c>
      <c r="P39" s="422">
        <f t="shared" si="0"/>
        <v>0.125</v>
      </c>
      <c r="Q39" s="416" t="s">
        <v>220</v>
      </c>
      <c r="R39" s="409" t="s">
        <v>221</v>
      </c>
      <c r="S39" s="409" t="s">
        <v>221</v>
      </c>
      <c r="T39" s="417" t="s">
        <v>67</v>
      </c>
      <c r="U39" s="409" t="str">
        <f t="shared" si="1"/>
        <v>2018</v>
      </c>
      <c r="AA39" s="410"/>
      <c r="AD39" s="418"/>
    </row>
    <row r="40" spans="1:30" s="409" customFormat="1" ht="14.1" customHeight="1">
      <c r="A40" s="410">
        <v>44943</v>
      </c>
      <c r="B40" s="409" t="s">
        <v>338</v>
      </c>
      <c r="C40" s="411" t="s">
        <v>476</v>
      </c>
      <c r="D40" s="413" t="s">
        <v>478</v>
      </c>
      <c r="E40" s="411">
        <v>5</v>
      </c>
      <c r="F40" s="411" t="s">
        <v>340</v>
      </c>
      <c r="G40" s="412" t="s">
        <v>477</v>
      </c>
      <c r="H40" s="410">
        <v>43599</v>
      </c>
      <c r="I40" s="409" t="s">
        <v>221</v>
      </c>
      <c r="J40" s="409" t="s">
        <v>221</v>
      </c>
      <c r="K40" s="409">
        <v>1</v>
      </c>
      <c r="L40" s="411" t="s">
        <v>220</v>
      </c>
      <c r="M40" s="411"/>
      <c r="N40" s="415">
        <v>3</v>
      </c>
      <c r="O40" s="416"/>
      <c r="P40" s="422">
        <f t="shared" si="0"/>
        <v>0</v>
      </c>
      <c r="Q40" s="416" t="s">
        <v>220</v>
      </c>
      <c r="R40" s="409" t="s">
        <v>221</v>
      </c>
      <c r="S40" s="409" t="s">
        <v>221</v>
      </c>
      <c r="T40" s="417" t="s">
        <v>67</v>
      </c>
      <c r="U40" s="409" t="str">
        <f t="shared" si="1"/>
        <v>2018</v>
      </c>
      <c r="AA40" s="410"/>
      <c r="AD40" s="418"/>
    </row>
    <row r="41" spans="1:30" s="409" customFormat="1" ht="14.1" customHeight="1">
      <c r="A41" s="410">
        <v>44940</v>
      </c>
      <c r="B41" s="409" t="s">
        <v>360</v>
      </c>
      <c r="C41" s="411" t="s">
        <v>479</v>
      </c>
      <c r="D41" s="413" t="s">
        <v>481</v>
      </c>
      <c r="E41" s="411">
        <v>6</v>
      </c>
      <c r="F41" s="411" t="s">
        <v>430</v>
      </c>
      <c r="G41" s="412" t="s">
        <v>480</v>
      </c>
      <c r="H41" s="410">
        <v>43545</v>
      </c>
      <c r="I41" s="409" t="s">
        <v>221</v>
      </c>
      <c r="J41" s="409" t="s">
        <v>221</v>
      </c>
      <c r="K41" s="409">
        <v>1</v>
      </c>
      <c r="L41" s="411" t="s">
        <v>220</v>
      </c>
      <c r="M41" s="411"/>
      <c r="N41" s="415">
        <v>2</v>
      </c>
      <c r="O41" s="416"/>
      <c r="P41" s="422">
        <f t="shared" si="0"/>
        <v>0</v>
      </c>
      <c r="Q41" s="416" t="s">
        <v>220</v>
      </c>
      <c r="R41" s="409" t="s">
        <v>221</v>
      </c>
      <c r="S41" s="409" t="s">
        <v>221</v>
      </c>
      <c r="T41" s="417" t="s">
        <v>67</v>
      </c>
      <c r="U41" s="409" t="str">
        <f t="shared" si="1"/>
        <v>2018</v>
      </c>
      <c r="AA41" s="410"/>
      <c r="AD41" s="418"/>
    </row>
    <row r="42" spans="1:30" s="409" customFormat="1" ht="14.1" customHeight="1">
      <c r="A42" s="410">
        <v>44940</v>
      </c>
      <c r="B42" s="409" t="s">
        <v>360</v>
      </c>
      <c r="C42" s="411" t="s">
        <v>482</v>
      </c>
      <c r="D42" s="413" t="s">
        <v>484</v>
      </c>
      <c r="E42" s="411">
        <v>5</v>
      </c>
      <c r="F42" s="411" t="s">
        <v>430</v>
      </c>
      <c r="G42" s="412" t="s">
        <v>483</v>
      </c>
      <c r="H42" s="410">
        <v>43545</v>
      </c>
      <c r="I42" s="409" t="s">
        <v>221</v>
      </c>
      <c r="J42" s="409" t="s">
        <v>221</v>
      </c>
      <c r="K42" s="409">
        <v>1</v>
      </c>
      <c r="L42" s="411" t="s">
        <v>221</v>
      </c>
      <c r="M42" s="411" t="s">
        <v>224</v>
      </c>
      <c r="N42" s="415">
        <v>3</v>
      </c>
      <c r="O42" s="416">
        <v>1</v>
      </c>
      <c r="P42" s="422">
        <f t="shared" si="0"/>
        <v>0.25</v>
      </c>
      <c r="Q42" s="416" t="s">
        <v>220</v>
      </c>
      <c r="R42" s="409" t="s">
        <v>221</v>
      </c>
      <c r="S42" s="409" t="s">
        <v>221</v>
      </c>
      <c r="T42" s="417" t="s">
        <v>67</v>
      </c>
      <c r="U42" s="409" t="str">
        <f t="shared" si="1"/>
        <v>2018</v>
      </c>
      <c r="AA42" s="410"/>
      <c r="AD42" s="418"/>
    </row>
    <row r="43" spans="1:30" s="409" customFormat="1" ht="14.1" customHeight="1">
      <c r="A43" s="410">
        <v>44937</v>
      </c>
      <c r="B43" s="409" t="s">
        <v>323</v>
      </c>
      <c r="C43" s="411" t="s">
        <v>485</v>
      </c>
      <c r="D43" s="413" t="s">
        <v>487</v>
      </c>
      <c r="E43" s="411">
        <v>4</v>
      </c>
      <c r="F43" s="411" t="s">
        <v>356</v>
      </c>
      <c r="G43" s="412" t="s">
        <v>486</v>
      </c>
      <c r="H43" s="410">
        <v>43533</v>
      </c>
      <c r="I43" s="409" t="s">
        <v>221</v>
      </c>
      <c r="J43" s="409" t="s">
        <v>221</v>
      </c>
      <c r="K43" s="409">
        <v>1</v>
      </c>
      <c r="L43" s="411" t="s">
        <v>221</v>
      </c>
      <c r="M43" s="411" t="s">
        <v>224</v>
      </c>
      <c r="N43" s="415">
        <v>2</v>
      </c>
      <c r="O43" s="416">
        <f>2/7</f>
        <v>0.2857142857142857</v>
      </c>
      <c r="P43" s="422">
        <f t="shared" si="0"/>
        <v>0.125</v>
      </c>
      <c r="Q43" s="416" t="s">
        <v>220</v>
      </c>
      <c r="R43" s="409" t="s">
        <v>221</v>
      </c>
      <c r="S43" s="409" t="s">
        <v>221</v>
      </c>
      <c r="T43" s="417" t="s">
        <v>67</v>
      </c>
      <c r="U43" s="409" t="str">
        <f t="shared" si="1"/>
        <v>2018</v>
      </c>
      <c r="AA43" s="410"/>
      <c r="AD43" s="418"/>
    </row>
    <row r="44" spans="1:30" s="409" customFormat="1" ht="14.1" customHeight="1">
      <c r="A44" s="410">
        <v>44942</v>
      </c>
      <c r="B44" s="409" t="s">
        <v>323</v>
      </c>
      <c r="C44" s="411" t="s">
        <v>488</v>
      </c>
      <c r="D44" s="413" t="s">
        <v>490</v>
      </c>
      <c r="E44" s="411">
        <v>15</v>
      </c>
      <c r="F44" s="411" t="s">
        <v>320</v>
      </c>
      <c r="G44" s="412" t="s">
        <v>489</v>
      </c>
      <c r="H44" s="410">
        <v>43538</v>
      </c>
      <c r="I44" s="409" t="s">
        <v>221</v>
      </c>
      <c r="J44" s="409" t="s">
        <v>221</v>
      </c>
      <c r="K44" s="409">
        <v>1</v>
      </c>
      <c r="L44" s="411" t="s">
        <v>220</v>
      </c>
      <c r="M44" s="411"/>
      <c r="N44" s="415">
        <v>3</v>
      </c>
      <c r="O44" s="416"/>
      <c r="P44" s="422">
        <f t="shared" si="0"/>
        <v>0</v>
      </c>
      <c r="Q44" s="416" t="s">
        <v>220</v>
      </c>
      <c r="R44" s="409" t="s">
        <v>221</v>
      </c>
      <c r="S44" s="409" t="s">
        <v>221</v>
      </c>
      <c r="T44" s="417" t="s">
        <v>67</v>
      </c>
      <c r="U44" s="409" t="str">
        <f t="shared" si="1"/>
        <v>2018</v>
      </c>
      <c r="AA44" s="410"/>
      <c r="AD44" s="418"/>
    </row>
    <row r="45" spans="1:30" s="409" customFormat="1" ht="14.1" customHeight="1">
      <c r="A45" s="410">
        <v>44938</v>
      </c>
      <c r="B45" s="409" t="s">
        <v>328</v>
      </c>
      <c r="C45" s="411" t="s">
        <v>491</v>
      </c>
      <c r="D45" s="413" t="s">
        <v>493</v>
      </c>
      <c r="E45" s="411">
        <v>10</v>
      </c>
      <c r="F45" s="411" t="s">
        <v>419</v>
      </c>
      <c r="G45" s="412" t="s">
        <v>492</v>
      </c>
      <c r="H45" s="410">
        <v>43536</v>
      </c>
      <c r="I45" s="409" t="s">
        <v>221</v>
      </c>
      <c r="J45" s="409" t="s">
        <v>221</v>
      </c>
      <c r="K45" s="409">
        <v>1</v>
      </c>
      <c r="L45" s="411" t="s">
        <v>221</v>
      </c>
      <c r="M45" s="411" t="s">
        <v>442</v>
      </c>
      <c r="N45" s="415">
        <v>2</v>
      </c>
      <c r="O45" s="416">
        <v>1</v>
      </c>
      <c r="P45" s="422">
        <f t="shared" si="0"/>
        <v>0.33333333333333331</v>
      </c>
      <c r="Q45" s="416" t="s">
        <v>220</v>
      </c>
      <c r="R45" s="409" t="s">
        <v>221</v>
      </c>
      <c r="S45" s="409" t="s">
        <v>221</v>
      </c>
      <c r="T45" s="417" t="s">
        <v>67</v>
      </c>
      <c r="U45" s="409" t="str">
        <f t="shared" si="1"/>
        <v>2018</v>
      </c>
      <c r="AA45" s="410"/>
      <c r="AD45" s="418"/>
    </row>
    <row r="46" spans="1:30" s="409" customFormat="1" ht="14.1" customHeight="1">
      <c r="A46" s="410">
        <v>44940</v>
      </c>
      <c r="B46" s="409" t="s">
        <v>338</v>
      </c>
      <c r="C46" s="411" t="s">
        <v>494</v>
      </c>
      <c r="D46" s="413" t="s">
        <v>496</v>
      </c>
      <c r="E46" s="411">
        <v>7</v>
      </c>
      <c r="F46" s="411" t="s">
        <v>330</v>
      </c>
      <c r="G46" s="412" t="s">
        <v>495</v>
      </c>
      <c r="H46" s="410">
        <v>43545</v>
      </c>
      <c r="I46" s="409" t="s">
        <v>221</v>
      </c>
      <c r="J46" s="409" t="s">
        <v>221</v>
      </c>
      <c r="K46" s="409">
        <v>1</v>
      </c>
      <c r="L46" s="411" t="s">
        <v>221</v>
      </c>
      <c r="M46" s="411" t="s">
        <v>497</v>
      </c>
      <c r="N46" s="415">
        <v>1</v>
      </c>
      <c r="O46" s="416">
        <v>1</v>
      </c>
      <c r="P46" s="422">
        <f t="shared" si="0"/>
        <v>0.5</v>
      </c>
      <c r="Q46" s="416" t="s">
        <v>220</v>
      </c>
      <c r="R46" s="409" t="s">
        <v>221</v>
      </c>
      <c r="S46" s="409" t="s">
        <v>221</v>
      </c>
      <c r="T46" s="417" t="s">
        <v>67</v>
      </c>
      <c r="U46" s="409" t="str">
        <f t="shared" si="1"/>
        <v>2018</v>
      </c>
      <c r="AA46" s="410"/>
      <c r="AD46" s="418"/>
    </row>
    <row r="47" spans="1:30" s="409" customFormat="1" ht="14.1" customHeight="1">
      <c r="A47" s="410">
        <v>44940</v>
      </c>
      <c r="B47" s="409" t="s">
        <v>328</v>
      </c>
      <c r="C47" s="411" t="s">
        <v>498</v>
      </c>
      <c r="D47" s="413" t="s">
        <v>500</v>
      </c>
      <c r="E47" s="411">
        <v>6</v>
      </c>
      <c r="F47" s="411" t="s">
        <v>330</v>
      </c>
      <c r="G47" s="412" t="s">
        <v>499</v>
      </c>
      <c r="H47" s="410">
        <v>43475</v>
      </c>
      <c r="I47" s="409" t="s">
        <v>221</v>
      </c>
      <c r="J47" s="409" t="s">
        <v>221</v>
      </c>
      <c r="K47" s="409">
        <v>1</v>
      </c>
      <c r="L47" s="411" t="s">
        <v>221</v>
      </c>
      <c r="M47" s="411" t="s">
        <v>225</v>
      </c>
      <c r="N47" s="415">
        <v>3</v>
      </c>
      <c r="O47" s="416">
        <v>1</v>
      </c>
      <c r="P47" s="422">
        <f t="shared" si="0"/>
        <v>0.25</v>
      </c>
      <c r="Q47" s="416" t="s">
        <v>220</v>
      </c>
      <c r="R47" s="409" t="s">
        <v>221</v>
      </c>
      <c r="S47" s="409" t="s">
        <v>221</v>
      </c>
      <c r="T47" s="417" t="s">
        <v>67</v>
      </c>
      <c r="U47" s="409" t="str">
        <f t="shared" si="1"/>
        <v>2018</v>
      </c>
      <c r="AA47" s="410"/>
      <c r="AD47" s="418"/>
    </row>
    <row r="48" spans="1:30" s="409" customFormat="1" ht="14.1" customHeight="1">
      <c r="A48" s="410">
        <v>44942</v>
      </c>
      <c r="B48" s="409" t="s">
        <v>338</v>
      </c>
      <c r="C48" s="411" t="s">
        <v>501</v>
      </c>
      <c r="D48" s="413" t="s">
        <v>503</v>
      </c>
      <c r="E48" s="411">
        <v>6</v>
      </c>
      <c r="F48" s="411" t="s">
        <v>320</v>
      </c>
      <c r="G48" s="412" t="s">
        <v>502</v>
      </c>
      <c r="H48" s="410">
        <v>43496</v>
      </c>
      <c r="I48" s="409" t="s">
        <v>221</v>
      </c>
      <c r="J48" s="409" t="s">
        <v>221</v>
      </c>
      <c r="K48" s="409">
        <v>1</v>
      </c>
      <c r="L48" s="411" t="s">
        <v>221</v>
      </c>
      <c r="M48" s="411" t="s">
        <v>442</v>
      </c>
      <c r="N48" s="415">
        <v>2</v>
      </c>
      <c r="O48" s="416">
        <f>1/7</f>
        <v>0.14285714285714285</v>
      </c>
      <c r="P48" s="422">
        <f t="shared" si="0"/>
        <v>6.6666666666666666E-2</v>
      </c>
      <c r="Q48" s="416" t="s">
        <v>220</v>
      </c>
      <c r="R48" s="409" t="s">
        <v>221</v>
      </c>
      <c r="S48" s="409" t="s">
        <v>221</v>
      </c>
      <c r="T48" s="417" t="s">
        <v>67</v>
      </c>
      <c r="U48" s="409" t="str">
        <f t="shared" si="1"/>
        <v>2018</v>
      </c>
      <c r="AA48" s="410"/>
      <c r="AD48" s="418"/>
    </row>
    <row r="49" spans="1:30" s="409" customFormat="1" ht="14.1" customHeight="1">
      <c r="A49" s="410">
        <v>44942</v>
      </c>
      <c r="B49" s="409" t="s">
        <v>360</v>
      </c>
      <c r="C49" s="411" t="s">
        <v>504</v>
      </c>
      <c r="D49" s="413" t="s">
        <v>506</v>
      </c>
      <c r="E49" s="411">
        <v>8</v>
      </c>
      <c r="F49" s="411" t="s">
        <v>320</v>
      </c>
      <c r="G49" s="412" t="s">
        <v>505</v>
      </c>
      <c r="H49" s="410">
        <v>43496</v>
      </c>
      <c r="I49" s="409" t="s">
        <v>221</v>
      </c>
      <c r="J49" s="409" t="s">
        <v>221</v>
      </c>
      <c r="K49" s="409">
        <v>1</v>
      </c>
      <c r="L49" s="411" t="s">
        <v>220</v>
      </c>
      <c r="M49" s="411"/>
      <c r="N49" s="415">
        <v>3</v>
      </c>
      <c r="O49" s="416"/>
      <c r="P49" s="422">
        <f t="shared" si="0"/>
        <v>0</v>
      </c>
      <c r="Q49" s="416" t="s">
        <v>220</v>
      </c>
      <c r="R49" s="409" t="s">
        <v>221</v>
      </c>
      <c r="S49" s="409" t="s">
        <v>221</v>
      </c>
      <c r="T49" s="417" t="s">
        <v>67</v>
      </c>
      <c r="U49" s="409" t="str">
        <f t="shared" si="1"/>
        <v>2018</v>
      </c>
      <c r="AA49" s="410"/>
      <c r="AD49" s="418"/>
    </row>
    <row r="50" spans="1:30" s="409" customFormat="1" ht="14.1" customHeight="1">
      <c r="A50" s="410">
        <v>44930</v>
      </c>
      <c r="B50" s="409" t="s">
        <v>360</v>
      </c>
      <c r="C50" s="411" t="s">
        <v>507</v>
      </c>
      <c r="D50" s="413" t="s">
        <v>509</v>
      </c>
      <c r="E50" s="411">
        <v>6</v>
      </c>
      <c r="F50" s="411" t="s">
        <v>366</v>
      </c>
      <c r="G50" s="412" t="s">
        <v>508</v>
      </c>
      <c r="H50" s="410">
        <v>43490</v>
      </c>
      <c r="I50" s="409" t="s">
        <v>221</v>
      </c>
      <c r="J50" s="409" t="s">
        <v>221</v>
      </c>
      <c r="K50" s="409">
        <v>1</v>
      </c>
      <c r="L50" s="411" t="s">
        <v>221</v>
      </c>
      <c r="M50" s="411" t="s">
        <v>225</v>
      </c>
      <c r="N50" s="415">
        <v>3</v>
      </c>
      <c r="O50" s="416">
        <f>2/7</f>
        <v>0.2857142857142857</v>
      </c>
      <c r="P50" s="422">
        <f t="shared" si="0"/>
        <v>8.6956521739130432E-2</v>
      </c>
      <c r="Q50" s="416" t="s">
        <v>220</v>
      </c>
      <c r="R50" s="409" t="s">
        <v>221</v>
      </c>
      <c r="S50" s="409" t="s">
        <v>221</v>
      </c>
      <c r="T50" s="417" t="s">
        <v>67</v>
      </c>
      <c r="U50" s="409" t="str">
        <f t="shared" si="1"/>
        <v>2018</v>
      </c>
      <c r="AA50" s="410"/>
      <c r="AD50" s="418"/>
    </row>
    <row r="51" spans="1:30" s="409" customFormat="1" ht="14.1" customHeight="1">
      <c r="A51" s="410">
        <v>44942</v>
      </c>
      <c r="B51" s="409" t="s">
        <v>323</v>
      </c>
      <c r="C51" s="411" t="s">
        <v>510</v>
      </c>
      <c r="D51" s="413" t="s">
        <v>512</v>
      </c>
      <c r="E51" s="411">
        <v>3</v>
      </c>
      <c r="F51" s="411" t="s">
        <v>320</v>
      </c>
      <c r="G51" s="412" t="s">
        <v>511</v>
      </c>
      <c r="H51" s="410">
        <v>43482</v>
      </c>
      <c r="I51" s="409" t="s">
        <v>221</v>
      </c>
      <c r="J51" s="409" t="s">
        <v>221</v>
      </c>
      <c r="K51" s="409">
        <v>1</v>
      </c>
      <c r="L51" s="411" t="s">
        <v>221</v>
      </c>
      <c r="M51" s="411" t="s">
        <v>224</v>
      </c>
      <c r="N51" s="415">
        <v>2</v>
      </c>
      <c r="O51" s="416">
        <v>1</v>
      </c>
      <c r="P51" s="422">
        <f t="shared" si="0"/>
        <v>0.33333333333333331</v>
      </c>
      <c r="Q51" s="416" t="s">
        <v>220</v>
      </c>
      <c r="R51" s="409" t="s">
        <v>221</v>
      </c>
      <c r="S51" s="409" t="s">
        <v>221</v>
      </c>
      <c r="T51" s="417" t="s">
        <v>67</v>
      </c>
      <c r="U51" s="409" t="str">
        <f t="shared" si="1"/>
        <v>2018</v>
      </c>
      <c r="AA51" s="410"/>
      <c r="AD51" s="418"/>
    </row>
    <row r="52" spans="1:30" s="409" customFormat="1" ht="14.1" customHeight="1">
      <c r="A52" s="410">
        <v>44943</v>
      </c>
      <c r="B52" s="409" t="s">
        <v>328</v>
      </c>
      <c r="C52" s="411" t="s">
        <v>513</v>
      </c>
      <c r="D52" s="413" t="s">
        <v>515</v>
      </c>
      <c r="E52" s="411">
        <v>10</v>
      </c>
      <c r="F52" s="411" t="s">
        <v>340</v>
      </c>
      <c r="G52" s="412" t="s">
        <v>514</v>
      </c>
      <c r="H52" s="410">
        <v>43509</v>
      </c>
      <c r="I52" s="409" t="s">
        <v>221</v>
      </c>
      <c r="J52" s="409" t="s">
        <v>221</v>
      </c>
      <c r="K52" s="409">
        <v>1</v>
      </c>
      <c r="L52" s="411" t="s">
        <v>220</v>
      </c>
      <c r="M52" s="411"/>
      <c r="N52" s="415">
        <v>3</v>
      </c>
      <c r="O52" s="416"/>
      <c r="P52" s="422">
        <f t="shared" si="0"/>
        <v>0</v>
      </c>
      <c r="Q52" s="416" t="s">
        <v>220</v>
      </c>
      <c r="R52" s="409" t="s">
        <v>221</v>
      </c>
      <c r="S52" s="409" t="s">
        <v>221</v>
      </c>
      <c r="T52" s="417" t="s">
        <v>67</v>
      </c>
      <c r="U52" s="409" t="str">
        <f t="shared" si="1"/>
        <v>2018</v>
      </c>
      <c r="AA52" s="410"/>
      <c r="AD52" s="418"/>
    </row>
    <row r="53" spans="1:30" s="409" customFormat="1" ht="14.1" customHeight="1">
      <c r="A53" s="410">
        <v>44938</v>
      </c>
      <c r="B53" s="409" t="s">
        <v>338</v>
      </c>
      <c r="C53" s="411" t="s">
        <v>516</v>
      </c>
      <c r="D53" s="413" t="s">
        <v>518</v>
      </c>
      <c r="E53" s="411">
        <v>6</v>
      </c>
      <c r="F53" s="411" t="s">
        <v>419</v>
      </c>
      <c r="G53" s="412" t="s">
        <v>517</v>
      </c>
      <c r="H53" s="410">
        <v>43476</v>
      </c>
      <c r="I53" s="409" t="s">
        <v>221</v>
      </c>
      <c r="J53" s="409" t="s">
        <v>221</v>
      </c>
      <c r="K53" s="409">
        <v>1</v>
      </c>
      <c r="L53" s="411" t="s">
        <v>220</v>
      </c>
      <c r="M53" s="411"/>
      <c r="N53" s="415">
        <v>3</v>
      </c>
      <c r="O53" s="416"/>
      <c r="P53" s="422">
        <f t="shared" si="0"/>
        <v>0</v>
      </c>
      <c r="Q53" s="416" t="s">
        <v>220</v>
      </c>
      <c r="R53" s="409" t="s">
        <v>221</v>
      </c>
      <c r="S53" s="409" t="s">
        <v>221</v>
      </c>
      <c r="T53" s="417" t="s">
        <v>519</v>
      </c>
      <c r="U53" s="409" t="str">
        <f t="shared" si="1"/>
        <v>2018</v>
      </c>
      <c r="AA53" s="410"/>
      <c r="AD53" s="418"/>
    </row>
    <row r="54" spans="1:30" s="409" customFormat="1" ht="14.1" customHeight="1">
      <c r="A54" s="410">
        <v>44930</v>
      </c>
      <c r="B54" s="409" t="s">
        <v>328</v>
      </c>
      <c r="C54" s="411" t="s">
        <v>520</v>
      </c>
      <c r="D54" s="413" t="s">
        <v>522</v>
      </c>
      <c r="E54" s="411">
        <v>7</v>
      </c>
      <c r="F54" s="411" t="s">
        <v>434</v>
      </c>
      <c r="G54" s="412" t="s">
        <v>521</v>
      </c>
      <c r="H54" s="410">
        <v>43396</v>
      </c>
      <c r="I54" s="409" t="s">
        <v>221</v>
      </c>
      <c r="J54" s="409" t="s">
        <v>221</v>
      </c>
      <c r="K54" s="409">
        <v>1</v>
      </c>
      <c r="L54" s="411" t="s">
        <v>221</v>
      </c>
      <c r="M54" s="411" t="s">
        <v>224</v>
      </c>
      <c r="N54" s="415">
        <v>3</v>
      </c>
      <c r="O54" s="416">
        <v>2</v>
      </c>
      <c r="P54" s="422">
        <f t="shared" si="0"/>
        <v>0.4</v>
      </c>
      <c r="Q54" s="416" t="s">
        <v>220</v>
      </c>
      <c r="R54" s="409" t="s">
        <v>221</v>
      </c>
      <c r="S54" s="409" t="s">
        <v>221</v>
      </c>
      <c r="T54" s="417" t="s">
        <v>67</v>
      </c>
      <c r="U54" s="409" t="str">
        <f t="shared" si="1"/>
        <v>2018</v>
      </c>
      <c r="AA54" s="410"/>
      <c r="AD54" s="418"/>
    </row>
    <row r="55" spans="1:30" s="409" customFormat="1" ht="14.1" customHeight="1">
      <c r="A55" s="410">
        <v>44938</v>
      </c>
      <c r="B55" s="409" t="s">
        <v>328</v>
      </c>
      <c r="C55" s="411" t="s">
        <v>523</v>
      </c>
      <c r="D55" s="413" t="s">
        <v>525</v>
      </c>
      <c r="E55" s="411">
        <v>4</v>
      </c>
      <c r="F55" s="411" t="s">
        <v>419</v>
      </c>
      <c r="G55" s="412" t="s">
        <v>524</v>
      </c>
      <c r="H55" s="410">
        <v>43445</v>
      </c>
      <c r="I55" s="409" t="s">
        <v>221</v>
      </c>
      <c r="J55" s="409" t="s">
        <v>221</v>
      </c>
      <c r="K55" s="409">
        <v>1</v>
      </c>
      <c r="L55" s="411" t="s">
        <v>220</v>
      </c>
      <c r="M55" s="411"/>
      <c r="N55" s="415">
        <v>2</v>
      </c>
      <c r="O55" s="416"/>
      <c r="P55" s="422">
        <f t="shared" si="0"/>
        <v>0</v>
      </c>
      <c r="Q55" s="416" t="s">
        <v>220</v>
      </c>
      <c r="R55" s="409" t="s">
        <v>221</v>
      </c>
      <c r="S55" s="409" t="s">
        <v>221</v>
      </c>
      <c r="T55" s="417" t="s">
        <v>67</v>
      </c>
      <c r="U55" s="409" t="str">
        <f t="shared" si="1"/>
        <v>2018</v>
      </c>
      <c r="AA55" s="410"/>
      <c r="AD55" s="418"/>
    </row>
    <row r="56" spans="1:30" s="409" customFormat="1" ht="14.1" customHeight="1">
      <c r="A56" s="410">
        <v>44943</v>
      </c>
      <c r="B56" s="409" t="s">
        <v>360</v>
      </c>
      <c r="C56" s="411" t="s">
        <v>526</v>
      </c>
      <c r="D56" s="413" t="s">
        <v>528</v>
      </c>
      <c r="E56" s="411">
        <v>6</v>
      </c>
      <c r="F56" s="411" t="s">
        <v>343</v>
      </c>
      <c r="G56" s="412" t="s">
        <v>527</v>
      </c>
      <c r="H56" s="410">
        <v>43449</v>
      </c>
      <c r="I56" s="409" t="s">
        <v>221</v>
      </c>
      <c r="J56" s="409" t="s">
        <v>221</v>
      </c>
      <c r="K56" s="409">
        <v>1</v>
      </c>
      <c r="L56" s="411" t="s">
        <v>221</v>
      </c>
      <c r="M56" s="411" t="s">
        <v>224</v>
      </c>
      <c r="N56" s="415">
        <v>2</v>
      </c>
      <c r="O56" s="416">
        <f>1/7</f>
        <v>0.14285714285714285</v>
      </c>
      <c r="P56" s="422">
        <f t="shared" si="0"/>
        <v>6.6666666666666666E-2</v>
      </c>
      <c r="Q56" s="416" t="s">
        <v>220</v>
      </c>
      <c r="R56" s="409" t="s">
        <v>221</v>
      </c>
      <c r="S56" s="409" t="s">
        <v>221</v>
      </c>
      <c r="T56" s="417" t="s">
        <v>67</v>
      </c>
      <c r="U56" s="409" t="str">
        <f t="shared" si="1"/>
        <v>2018</v>
      </c>
      <c r="AA56" s="410"/>
      <c r="AD56" s="418"/>
    </row>
    <row r="57" spans="1:30" s="409" customFormat="1" ht="14.1" customHeight="1">
      <c r="A57" s="410">
        <v>44930</v>
      </c>
      <c r="B57" s="409" t="s">
        <v>360</v>
      </c>
      <c r="C57" s="411" t="s">
        <v>529</v>
      </c>
      <c r="D57" s="413" t="s">
        <v>531</v>
      </c>
      <c r="E57" s="411">
        <v>8</v>
      </c>
      <c r="F57" s="411" t="s">
        <v>366</v>
      </c>
      <c r="G57" s="412" t="s">
        <v>530</v>
      </c>
      <c r="H57" s="410">
        <v>43370</v>
      </c>
      <c r="I57" s="409" t="s">
        <v>221</v>
      </c>
      <c r="J57" s="409" t="s">
        <v>221</v>
      </c>
      <c r="K57" s="409">
        <v>1</v>
      </c>
      <c r="L57" s="411" t="s">
        <v>221</v>
      </c>
      <c r="M57" s="411" t="s">
        <v>225</v>
      </c>
      <c r="N57" s="415">
        <v>2</v>
      </c>
      <c r="O57" s="416">
        <v>2</v>
      </c>
      <c r="P57" s="422">
        <f t="shared" si="0"/>
        <v>0.5</v>
      </c>
      <c r="Q57" s="416" t="s">
        <v>220</v>
      </c>
      <c r="R57" s="409" t="s">
        <v>221</v>
      </c>
      <c r="S57" s="409" t="s">
        <v>221</v>
      </c>
      <c r="T57" s="417" t="s">
        <v>67</v>
      </c>
      <c r="U57" s="409" t="str">
        <f t="shared" si="1"/>
        <v>2018</v>
      </c>
      <c r="AA57" s="410"/>
      <c r="AD57" s="418"/>
    </row>
    <row r="58" spans="1:30" s="409" customFormat="1" ht="14.1" customHeight="1">
      <c r="A58" s="410">
        <v>44942</v>
      </c>
      <c r="B58" s="409" t="s">
        <v>360</v>
      </c>
      <c r="C58" s="411" t="s">
        <v>532</v>
      </c>
      <c r="D58" s="413" t="s">
        <v>534</v>
      </c>
      <c r="E58" s="411">
        <v>8</v>
      </c>
      <c r="F58" s="411" t="s">
        <v>320</v>
      </c>
      <c r="G58" s="412" t="s">
        <v>533</v>
      </c>
      <c r="H58" s="410">
        <v>43358</v>
      </c>
      <c r="I58" s="409" t="s">
        <v>221</v>
      </c>
      <c r="J58" s="409" t="s">
        <v>221</v>
      </c>
      <c r="K58" s="409">
        <v>1</v>
      </c>
      <c r="L58" s="411" t="s">
        <v>221</v>
      </c>
      <c r="M58" s="411" t="s">
        <v>442</v>
      </c>
      <c r="N58" s="415">
        <v>2</v>
      </c>
      <c r="O58" s="416">
        <v>2</v>
      </c>
      <c r="P58" s="422">
        <f t="shared" si="0"/>
        <v>0.5</v>
      </c>
      <c r="Q58" s="416" t="s">
        <v>220</v>
      </c>
      <c r="R58" s="409" t="s">
        <v>221</v>
      </c>
      <c r="S58" s="409" t="s">
        <v>221</v>
      </c>
      <c r="T58" s="417" t="s">
        <v>67</v>
      </c>
      <c r="U58" s="409" t="str">
        <f t="shared" si="1"/>
        <v>2018</v>
      </c>
      <c r="AA58" s="410"/>
      <c r="AD58" s="418"/>
    </row>
    <row r="59" spans="1:30" s="409" customFormat="1" ht="14.1" customHeight="1">
      <c r="A59" s="410">
        <v>44943</v>
      </c>
      <c r="B59" s="409" t="s">
        <v>323</v>
      </c>
      <c r="C59" s="411" t="s">
        <v>535</v>
      </c>
      <c r="D59" s="413" t="s">
        <v>537</v>
      </c>
      <c r="E59" s="411">
        <v>2</v>
      </c>
      <c r="F59" s="411" t="s">
        <v>343</v>
      </c>
      <c r="G59" s="412" t="s">
        <v>536</v>
      </c>
      <c r="H59" s="410">
        <v>43346</v>
      </c>
      <c r="I59" s="409" t="s">
        <v>221</v>
      </c>
      <c r="J59" s="409" t="s">
        <v>221</v>
      </c>
      <c r="K59" s="409">
        <v>1</v>
      </c>
      <c r="L59" s="411" t="s">
        <v>221</v>
      </c>
      <c r="M59" s="411" t="s">
        <v>538</v>
      </c>
      <c r="N59" s="415">
        <v>2</v>
      </c>
      <c r="O59" s="416">
        <f>0.1+0.3</f>
        <v>0.4</v>
      </c>
      <c r="P59" s="422">
        <f t="shared" si="0"/>
        <v>0.16666666666666669</v>
      </c>
      <c r="Q59" s="416" t="s">
        <v>220</v>
      </c>
      <c r="R59" s="409" t="s">
        <v>221</v>
      </c>
      <c r="S59" s="409" t="s">
        <v>221</v>
      </c>
      <c r="T59" s="417" t="s">
        <v>67</v>
      </c>
      <c r="U59" s="409" t="str">
        <f t="shared" si="1"/>
        <v>2018</v>
      </c>
      <c r="AA59" s="410"/>
      <c r="AD59" s="418"/>
    </row>
    <row r="60" spans="1:30" s="409" customFormat="1" ht="14.1" customHeight="1">
      <c r="A60" s="410">
        <v>44929</v>
      </c>
      <c r="B60" s="409" t="s">
        <v>360</v>
      </c>
      <c r="C60" s="411" t="s">
        <v>539</v>
      </c>
      <c r="D60" s="413" t="s">
        <v>541</v>
      </c>
      <c r="E60" s="411">
        <v>3</v>
      </c>
      <c r="F60" s="411" t="s">
        <v>398</v>
      </c>
      <c r="G60" s="412" t="s">
        <v>540</v>
      </c>
      <c r="H60" s="410">
        <v>43370</v>
      </c>
      <c r="I60" s="409" t="s">
        <v>221</v>
      </c>
      <c r="J60" s="409" t="s">
        <v>221</v>
      </c>
      <c r="K60" s="409">
        <v>1</v>
      </c>
      <c r="L60" s="411" t="s">
        <v>221</v>
      </c>
      <c r="M60" s="411" t="s">
        <v>224</v>
      </c>
      <c r="N60" s="415">
        <v>0.42857142857142855</v>
      </c>
      <c r="O60" s="416">
        <v>3</v>
      </c>
      <c r="P60" s="422">
        <f t="shared" si="0"/>
        <v>0.875</v>
      </c>
      <c r="Q60" s="416" t="s">
        <v>220</v>
      </c>
      <c r="R60" s="409" t="s">
        <v>221</v>
      </c>
      <c r="S60" s="409" t="s">
        <v>221</v>
      </c>
      <c r="T60" s="417" t="s">
        <v>67</v>
      </c>
      <c r="U60" s="409" t="str">
        <f t="shared" si="1"/>
        <v>2018</v>
      </c>
      <c r="AA60" s="410"/>
      <c r="AD60" s="418"/>
    </row>
    <row r="61" spans="1:30" s="409" customFormat="1" ht="14.1" customHeight="1">
      <c r="A61" s="410">
        <v>44943</v>
      </c>
      <c r="B61" s="409" t="s">
        <v>323</v>
      </c>
      <c r="C61" s="411" t="s">
        <v>542</v>
      </c>
      <c r="D61" s="413" t="s">
        <v>544</v>
      </c>
      <c r="E61" s="411">
        <v>10</v>
      </c>
      <c r="F61" s="411" t="s">
        <v>343</v>
      </c>
      <c r="G61" s="412" t="s">
        <v>543</v>
      </c>
      <c r="H61" s="410">
        <v>43351</v>
      </c>
      <c r="I61" s="409" t="s">
        <v>221</v>
      </c>
      <c r="J61" s="409" t="s">
        <v>221</v>
      </c>
      <c r="K61" s="409">
        <v>1</v>
      </c>
      <c r="L61" s="411" t="s">
        <v>220</v>
      </c>
      <c r="M61" s="411"/>
      <c r="N61" s="415">
        <v>3</v>
      </c>
      <c r="O61" s="416"/>
      <c r="P61" s="422">
        <f t="shared" si="0"/>
        <v>0</v>
      </c>
      <c r="Q61" s="416" t="s">
        <v>220</v>
      </c>
      <c r="R61" s="409" t="s">
        <v>221</v>
      </c>
      <c r="S61" s="409" t="s">
        <v>221</v>
      </c>
      <c r="T61" s="417" t="s">
        <v>67</v>
      </c>
      <c r="U61" s="409" t="str">
        <f t="shared" si="1"/>
        <v>2018</v>
      </c>
      <c r="AA61" s="410"/>
      <c r="AD61" s="418"/>
    </row>
    <row r="62" spans="1:30" s="409" customFormat="1" ht="14.1" customHeight="1">
      <c r="A62" s="410">
        <v>44940</v>
      </c>
      <c r="B62" s="409" t="s">
        <v>328</v>
      </c>
      <c r="C62" s="411" t="s">
        <v>545</v>
      </c>
      <c r="D62" s="413" t="s">
        <v>547</v>
      </c>
      <c r="E62" s="411">
        <v>6</v>
      </c>
      <c r="F62" s="411" t="s">
        <v>330</v>
      </c>
      <c r="G62" s="412" t="s">
        <v>546</v>
      </c>
      <c r="H62" s="410">
        <v>43364</v>
      </c>
      <c r="I62" s="409" t="s">
        <v>221</v>
      </c>
      <c r="J62" s="409" t="s">
        <v>221</v>
      </c>
      <c r="K62" s="409">
        <v>1</v>
      </c>
      <c r="L62" s="411" t="s">
        <v>221</v>
      </c>
      <c r="M62" s="411" t="s">
        <v>548</v>
      </c>
      <c r="N62" s="415">
        <v>2</v>
      </c>
      <c r="O62" s="416">
        <v>1</v>
      </c>
      <c r="P62" s="422">
        <f t="shared" si="0"/>
        <v>0.33333333333333331</v>
      </c>
      <c r="Q62" s="416" t="s">
        <v>220</v>
      </c>
      <c r="R62" s="409" t="s">
        <v>221</v>
      </c>
      <c r="S62" s="409" t="s">
        <v>221</v>
      </c>
      <c r="T62" s="417" t="s">
        <v>67</v>
      </c>
      <c r="U62" s="409" t="str">
        <f t="shared" si="1"/>
        <v>2018</v>
      </c>
      <c r="AA62" s="410"/>
      <c r="AD62" s="418"/>
    </row>
    <row r="63" spans="1:30" s="409" customFormat="1" ht="14.1" customHeight="1">
      <c r="A63" s="410">
        <v>44942</v>
      </c>
      <c r="B63" s="409" t="s">
        <v>338</v>
      </c>
      <c r="C63" s="411" t="s">
        <v>549</v>
      </c>
      <c r="D63" s="413" t="s">
        <v>551</v>
      </c>
      <c r="E63" s="411">
        <v>2</v>
      </c>
      <c r="F63" s="411" t="s">
        <v>320</v>
      </c>
      <c r="G63" s="412" t="s">
        <v>550</v>
      </c>
      <c r="H63" s="410">
        <v>43358</v>
      </c>
      <c r="I63" s="409" t="s">
        <v>221</v>
      </c>
      <c r="J63" s="409" t="s">
        <v>221</v>
      </c>
      <c r="K63" s="409">
        <v>1</v>
      </c>
      <c r="L63" s="411" t="s">
        <v>221</v>
      </c>
      <c r="M63" s="411" t="s">
        <v>442</v>
      </c>
      <c r="N63" s="415">
        <v>2</v>
      </c>
      <c r="O63" s="416">
        <v>2</v>
      </c>
      <c r="P63" s="422">
        <f t="shared" si="0"/>
        <v>0.5</v>
      </c>
      <c r="Q63" s="416" t="s">
        <v>220</v>
      </c>
      <c r="R63" s="409" t="s">
        <v>221</v>
      </c>
      <c r="S63" s="409" t="s">
        <v>221</v>
      </c>
      <c r="T63" s="417" t="s">
        <v>67</v>
      </c>
      <c r="U63" s="409" t="str">
        <f t="shared" si="1"/>
        <v>2018</v>
      </c>
      <c r="AA63" s="410"/>
      <c r="AD63" s="418"/>
    </row>
    <row r="64" spans="1:30" s="409" customFormat="1" ht="14.1" customHeight="1">
      <c r="A64" s="410">
        <v>44942</v>
      </c>
      <c r="B64" s="409" t="s">
        <v>323</v>
      </c>
      <c r="C64" s="411" t="s">
        <v>552</v>
      </c>
      <c r="D64" s="413" t="s">
        <v>554</v>
      </c>
      <c r="E64" s="411">
        <v>6</v>
      </c>
      <c r="F64" s="411" t="s">
        <v>320</v>
      </c>
      <c r="G64" s="412" t="s">
        <v>553</v>
      </c>
      <c r="H64" s="410">
        <v>43364</v>
      </c>
      <c r="I64" s="409" t="s">
        <v>221</v>
      </c>
      <c r="J64" s="409" t="s">
        <v>221</v>
      </c>
      <c r="K64" s="409">
        <v>1</v>
      </c>
      <c r="L64" s="411" t="s">
        <v>220</v>
      </c>
      <c r="M64" s="411"/>
      <c r="N64" s="415">
        <v>2</v>
      </c>
      <c r="O64" s="416"/>
      <c r="P64" s="422">
        <f t="shared" si="0"/>
        <v>0</v>
      </c>
      <c r="Q64" s="416" t="s">
        <v>220</v>
      </c>
      <c r="R64" s="409" t="s">
        <v>221</v>
      </c>
      <c r="S64" s="409" t="s">
        <v>221</v>
      </c>
      <c r="T64" s="417" t="s">
        <v>67</v>
      </c>
      <c r="U64" s="409" t="str">
        <f t="shared" si="1"/>
        <v>2018</v>
      </c>
      <c r="AA64" s="410"/>
      <c r="AD64" s="418"/>
    </row>
    <row r="65" spans="1:30" s="409" customFormat="1" ht="14.1" customHeight="1">
      <c r="A65" s="410">
        <v>44929</v>
      </c>
      <c r="B65" s="409" t="s">
        <v>323</v>
      </c>
      <c r="C65" s="411" t="s">
        <v>555</v>
      </c>
      <c r="D65" s="413" t="s">
        <v>557</v>
      </c>
      <c r="E65" s="411">
        <v>10</v>
      </c>
      <c r="F65" s="411" t="s">
        <v>398</v>
      </c>
      <c r="G65" s="412" t="s">
        <v>556</v>
      </c>
      <c r="H65" s="410">
        <v>43255</v>
      </c>
      <c r="I65" s="409" t="s">
        <v>221</v>
      </c>
      <c r="J65" s="409" t="s">
        <v>221</v>
      </c>
      <c r="K65" s="409">
        <v>1</v>
      </c>
      <c r="L65" s="411" t="s">
        <v>221</v>
      </c>
      <c r="M65" s="411" t="s">
        <v>548</v>
      </c>
      <c r="N65" s="415">
        <v>3</v>
      </c>
      <c r="O65" s="416">
        <v>2</v>
      </c>
      <c r="P65" s="422">
        <f t="shared" si="0"/>
        <v>0.4</v>
      </c>
      <c r="Q65" s="416" t="s">
        <v>220</v>
      </c>
      <c r="R65" s="409" t="s">
        <v>221</v>
      </c>
      <c r="S65" s="409" t="s">
        <v>221</v>
      </c>
      <c r="T65" s="417" t="s">
        <v>67</v>
      </c>
      <c r="U65" s="409" t="str">
        <f t="shared" si="1"/>
        <v>2018</v>
      </c>
      <c r="AA65" s="410"/>
      <c r="AD65" s="418"/>
    </row>
    <row r="66" spans="1:30" s="409" customFormat="1" ht="14.1" customHeight="1">
      <c r="A66" s="410">
        <v>44930</v>
      </c>
      <c r="B66" s="409" t="s">
        <v>338</v>
      </c>
      <c r="C66" s="411" t="s">
        <v>558</v>
      </c>
      <c r="D66" s="413" t="s">
        <v>560</v>
      </c>
      <c r="E66" s="411">
        <v>2</v>
      </c>
      <c r="F66" s="411" t="s">
        <v>434</v>
      </c>
      <c r="G66" s="412" t="s">
        <v>559</v>
      </c>
      <c r="H66" s="410">
        <v>43273</v>
      </c>
      <c r="I66" s="409" t="s">
        <v>221</v>
      </c>
      <c r="J66" s="409" t="s">
        <v>221</v>
      </c>
      <c r="K66" s="409">
        <v>1</v>
      </c>
      <c r="L66" s="411" t="s">
        <v>221</v>
      </c>
      <c r="M66" s="411" t="s">
        <v>224</v>
      </c>
      <c r="N66" s="415">
        <v>3</v>
      </c>
      <c r="O66" s="416">
        <f>2/7</f>
        <v>0.2857142857142857</v>
      </c>
      <c r="P66" s="422">
        <f t="shared" ref="P66:P129" si="2">O66/(O66+N66)</f>
        <v>8.6956521739130432E-2</v>
      </c>
      <c r="Q66" s="416" t="s">
        <v>220</v>
      </c>
      <c r="R66" s="409" t="s">
        <v>221</v>
      </c>
      <c r="S66" s="409" t="s">
        <v>221</v>
      </c>
      <c r="T66" s="417" t="s">
        <v>67</v>
      </c>
      <c r="U66" s="409" t="str">
        <f t="shared" ref="U66:U129" si="3">IF(AND(H66&gt;=$W$1,H66&lt;$X$1),"2018",IF(AND(H66&gt;=$X$1,H66&lt;$Y$1),"2019",IF(H66&gt;=$Y$1,"2020")))</f>
        <v>2018</v>
      </c>
      <c r="AA66" s="410"/>
      <c r="AD66" s="418"/>
    </row>
    <row r="67" spans="1:30" s="409" customFormat="1" ht="14.1" customHeight="1">
      <c r="A67" s="410">
        <v>44928</v>
      </c>
      <c r="B67" s="409" t="s">
        <v>318</v>
      </c>
      <c r="C67" s="411" t="s">
        <v>561</v>
      </c>
      <c r="D67" s="413" t="s">
        <v>563</v>
      </c>
      <c r="E67" s="411">
        <v>4</v>
      </c>
      <c r="F67" s="411" t="s">
        <v>381</v>
      </c>
      <c r="G67" s="412" t="s">
        <v>562</v>
      </c>
      <c r="H67" s="410">
        <v>43271</v>
      </c>
      <c r="I67" s="409" t="s">
        <v>221</v>
      </c>
      <c r="J67" s="409" t="s">
        <v>221</v>
      </c>
      <c r="K67" s="409">
        <v>1</v>
      </c>
      <c r="L67" s="411" t="s">
        <v>220</v>
      </c>
      <c r="M67" s="411"/>
      <c r="N67" s="415">
        <v>3</v>
      </c>
      <c r="O67" s="416"/>
      <c r="P67" s="422">
        <f t="shared" si="2"/>
        <v>0</v>
      </c>
      <c r="Q67" s="416" t="s">
        <v>220</v>
      </c>
      <c r="R67" s="409" t="s">
        <v>221</v>
      </c>
      <c r="S67" s="409" t="s">
        <v>221</v>
      </c>
      <c r="T67" s="417" t="s">
        <v>67</v>
      </c>
      <c r="U67" s="409" t="str">
        <f t="shared" si="3"/>
        <v>2018</v>
      </c>
      <c r="AA67" s="410"/>
      <c r="AD67" s="418"/>
    </row>
    <row r="68" spans="1:30" s="409" customFormat="1" ht="14.1" customHeight="1">
      <c r="A68" s="410">
        <v>44928</v>
      </c>
      <c r="B68" s="409" t="s">
        <v>318</v>
      </c>
      <c r="C68" s="411" t="s">
        <v>564</v>
      </c>
      <c r="D68" s="413" t="s">
        <v>566</v>
      </c>
      <c r="E68" s="411">
        <v>10</v>
      </c>
      <c r="F68" s="411" t="s">
        <v>381</v>
      </c>
      <c r="G68" s="412" t="s">
        <v>565</v>
      </c>
      <c r="H68" s="410">
        <v>43271</v>
      </c>
      <c r="I68" s="409" t="s">
        <v>221</v>
      </c>
      <c r="J68" s="409" t="s">
        <v>221</v>
      </c>
      <c r="K68" s="409">
        <v>1</v>
      </c>
      <c r="L68" s="411" t="s">
        <v>220</v>
      </c>
      <c r="M68" s="411"/>
      <c r="N68" s="415">
        <v>3</v>
      </c>
      <c r="O68" s="416"/>
      <c r="P68" s="422">
        <f t="shared" si="2"/>
        <v>0</v>
      </c>
      <c r="Q68" s="416" t="s">
        <v>220</v>
      </c>
      <c r="R68" s="409" t="s">
        <v>221</v>
      </c>
      <c r="S68" s="409" t="s">
        <v>221</v>
      </c>
      <c r="T68" s="417" t="s">
        <v>67</v>
      </c>
      <c r="U68" s="409" t="str">
        <f t="shared" si="3"/>
        <v>2018</v>
      </c>
      <c r="AA68" s="410"/>
      <c r="AD68" s="418"/>
    </row>
    <row r="69" spans="1:30" s="409" customFormat="1" ht="14.1" customHeight="1">
      <c r="A69" s="410">
        <v>44938</v>
      </c>
      <c r="B69" s="409" t="s">
        <v>323</v>
      </c>
      <c r="C69" s="411" t="s">
        <v>567</v>
      </c>
      <c r="D69" s="413" t="s">
        <v>569</v>
      </c>
      <c r="E69" s="411">
        <v>6</v>
      </c>
      <c r="F69" s="411" t="s">
        <v>381</v>
      </c>
      <c r="G69" s="412" t="s">
        <v>568</v>
      </c>
      <c r="H69" s="410">
        <v>43272</v>
      </c>
      <c r="I69" s="409" t="s">
        <v>221</v>
      </c>
      <c r="J69" s="409" t="s">
        <v>221</v>
      </c>
      <c r="K69" s="409">
        <v>1</v>
      </c>
      <c r="L69" s="411" t="s">
        <v>220</v>
      </c>
      <c r="M69" s="411"/>
      <c r="N69" s="415">
        <v>1</v>
      </c>
      <c r="O69" s="416"/>
      <c r="P69" s="422">
        <f t="shared" si="2"/>
        <v>0</v>
      </c>
      <c r="Q69" s="416" t="s">
        <v>220</v>
      </c>
      <c r="R69" s="409" t="s">
        <v>221</v>
      </c>
      <c r="S69" s="409" t="s">
        <v>221</v>
      </c>
      <c r="T69" s="417" t="s">
        <v>67</v>
      </c>
      <c r="U69" s="409" t="str">
        <f t="shared" si="3"/>
        <v>2018</v>
      </c>
      <c r="AA69" s="410"/>
      <c r="AD69" s="418"/>
    </row>
    <row r="70" spans="1:30" s="409" customFormat="1" ht="14.1" customHeight="1">
      <c r="A70" s="410">
        <v>44932</v>
      </c>
      <c r="B70" s="409" t="s">
        <v>338</v>
      </c>
      <c r="C70" s="411" t="s">
        <v>570</v>
      </c>
      <c r="D70" s="413" t="s">
        <v>572</v>
      </c>
      <c r="E70" s="411">
        <v>8</v>
      </c>
      <c r="F70" s="411" t="s">
        <v>452</v>
      </c>
      <c r="G70" s="412" t="s">
        <v>571</v>
      </c>
      <c r="H70" s="410">
        <v>43385</v>
      </c>
      <c r="I70" s="409" t="s">
        <v>221</v>
      </c>
      <c r="J70" s="409" t="s">
        <v>221</v>
      </c>
      <c r="K70" s="409">
        <v>1</v>
      </c>
      <c r="L70" s="411" t="s">
        <v>220</v>
      </c>
      <c r="M70" s="411"/>
      <c r="N70" s="415">
        <v>2</v>
      </c>
      <c r="O70" s="416"/>
      <c r="P70" s="422">
        <f t="shared" si="2"/>
        <v>0</v>
      </c>
      <c r="Q70" s="416" t="s">
        <v>220</v>
      </c>
      <c r="R70" s="409" t="s">
        <v>221</v>
      </c>
      <c r="S70" s="409" t="s">
        <v>221</v>
      </c>
      <c r="T70" s="417" t="s">
        <v>67</v>
      </c>
      <c r="U70" s="409" t="str">
        <f t="shared" si="3"/>
        <v>2018</v>
      </c>
      <c r="AA70" s="410"/>
      <c r="AD70" s="418"/>
    </row>
    <row r="71" spans="1:30" s="409" customFormat="1" ht="14.1" customHeight="1">
      <c r="A71" s="410">
        <v>44929</v>
      </c>
      <c r="B71" s="409" t="s">
        <v>338</v>
      </c>
      <c r="C71" s="411" t="s">
        <v>573</v>
      </c>
      <c r="D71" s="413" t="s">
        <v>576</v>
      </c>
      <c r="E71" s="411">
        <v>7</v>
      </c>
      <c r="F71" s="411" t="s">
        <v>574</v>
      </c>
      <c r="G71" s="412" t="s">
        <v>575</v>
      </c>
      <c r="H71" s="410">
        <v>43862</v>
      </c>
      <c r="I71" s="409" t="s">
        <v>221</v>
      </c>
      <c r="J71" s="409" t="s">
        <v>221</v>
      </c>
      <c r="K71" s="409">
        <v>2</v>
      </c>
      <c r="L71" s="411" t="s">
        <v>220</v>
      </c>
      <c r="M71" s="411"/>
      <c r="N71" s="415">
        <v>3</v>
      </c>
      <c r="O71" s="416"/>
      <c r="P71" s="422">
        <f t="shared" si="2"/>
        <v>0</v>
      </c>
      <c r="Q71" s="416" t="s">
        <v>220</v>
      </c>
      <c r="R71" s="409" t="s">
        <v>221</v>
      </c>
      <c r="S71" s="409" t="s">
        <v>221</v>
      </c>
      <c r="T71" s="417" t="s">
        <v>67</v>
      </c>
      <c r="U71" s="409" t="str">
        <f t="shared" si="3"/>
        <v>2019</v>
      </c>
      <c r="AA71" s="410"/>
      <c r="AD71" s="418"/>
    </row>
    <row r="72" spans="1:30" s="409" customFormat="1" ht="14.1" customHeight="1">
      <c r="A72" s="410">
        <v>44929</v>
      </c>
      <c r="B72" s="409" t="s">
        <v>338</v>
      </c>
      <c r="C72" s="411" t="s">
        <v>577</v>
      </c>
      <c r="D72" s="413" t="s">
        <v>579</v>
      </c>
      <c r="E72" s="411">
        <v>9</v>
      </c>
      <c r="F72" s="411" t="s">
        <v>574</v>
      </c>
      <c r="G72" s="412" t="s">
        <v>578</v>
      </c>
      <c r="H72" s="410">
        <v>43866</v>
      </c>
      <c r="I72" s="409" t="s">
        <v>221</v>
      </c>
      <c r="J72" s="409" t="s">
        <v>221</v>
      </c>
      <c r="K72" s="409">
        <v>1</v>
      </c>
      <c r="L72" s="411" t="s">
        <v>221</v>
      </c>
      <c r="M72" s="411" t="s">
        <v>580</v>
      </c>
      <c r="N72" s="415">
        <v>2</v>
      </c>
      <c r="O72" s="416">
        <f>0.1+1</f>
        <v>1.1000000000000001</v>
      </c>
      <c r="P72" s="422">
        <f t="shared" si="2"/>
        <v>0.35483870967741937</v>
      </c>
      <c r="Q72" s="416" t="s">
        <v>220</v>
      </c>
      <c r="R72" s="409" t="s">
        <v>221</v>
      </c>
      <c r="S72" s="409" t="s">
        <v>221</v>
      </c>
      <c r="T72" s="417" t="s">
        <v>581</v>
      </c>
      <c r="U72" s="409" t="str">
        <f t="shared" si="3"/>
        <v>2019</v>
      </c>
      <c r="AA72" s="410"/>
      <c r="AD72" s="418"/>
    </row>
    <row r="73" spans="1:30" s="409" customFormat="1" ht="14.1" customHeight="1">
      <c r="A73" s="410">
        <v>44928</v>
      </c>
      <c r="B73" s="409" t="s">
        <v>328</v>
      </c>
      <c r="C73" s="411" t="s">
        <v>582</v>
      </c>
      <c r="D73" s="413" t="s">
        <v>585</v>
      </c>
      <c r="E73" s="411">
        <v>15</v>
      </c>
      <c r="F73" s="411" t="s">
        <v>583</v>
      </c>
      <c r="G73" s="412" t="s">
        <v>584</v>
      </c>
      <c r="H73" s="410">
        <v>43874</v>
      </c>
      <c r="I73" s="409" t="s">
        <v>221</v>
      </c>
      <c r="J73" s="409" t="s">
        <v>221</v>
      </c>
      <c r="K73" s="409">
        <v>2</v>
      </c>
      <c r="L73" s="411" t="s">
        <v>221</v>
      </c>
      <c r="M73" s="411" t="s">
        <v>224</v>
      </c>
      <c r="N73" s="415">
        <v>3</v>
      </c>
      <c r="O73" s="416">
        <v>1</v>
      </c>
      <c r="P73" s="422">
        <f t="shared" si="2"/>
        <v>0.25</v>
      </c>
      <c r="Q73" s="416" t="s">
        <v>220</v>
      </c>
      <c r="R73" s="409" t="s">
        <v>221</v>
      </c>
      <c r="S73" s="409" t="s">
        <v>221</v>
      </c>
      <c r="T73" s="417" t="s">
        <v>67</v>
      </c>
      <c r="U73" s="409" t="str">
        <f t="shared" si="3"/>
        <v>2019</v>
      </c>
      <c r="AA73" s="410"/>
      <c r="AD73" s="418"/>
    </row>
    <row r="74" spans="1:30" s="409" customFormat="1" ht="14.1" customHeight="1">
      <c r="A74" s="410">
        <v>44942</v>
      </c>
      <c r="B74" s="409" t="s">
        <v>338</v>
      </c>
      <c r="C74" s="411" t="s">
        <v>586</v>
      </c>
      <c r="D74" s="413" t="s">
        <v>588</v>
      </c>
      <c r="E74" s="411">
        <v>8</v>
      </c>
      <c r="F74" s="411" t="s">
        <v>320</v>
      </c>
      <c r="G74" s="412" t="s">
        <v>587</v>
      </c>
      <c r="H74" s="410">
        <v>43866</v>
      </c>
      <c r="I74" s="409" t="s">
        <v>221</v>
      </c>
      <c r="J74" s="409" t="s">
        <v>221</v>
      </c>
      <c r="K74" s="409">
        <v>1</v>
      </c>
      <c r="L74" s="411" t="s">
        <v>220</v>
      </c>
      <c r="M74" s="411"/>
      <c r="N74" s="415">
        <v>3</v>
      </c>
      <c r="O74" s="416"/>
      <c r="P74" s="422">
        <f t="shared" si="2"/>
        <v>0</v>
      </c>
      <c r="Q74" s="416" t="s">
        <v>220</v>
      </c>
      <c r="R74" s="409" t="s">
        <v>221</v>
      </c>
      <c r="S74" s="409" t="s">
        <v>221</v>
      </c>
      <c r="T74" s="417" t="s">
        <v>589</v>
      </c>
      <c r="U74" s="409" t="str">
        <f t="shared" si="3"/>
        <v>2019</v>
      </c>
      <c r="AA74" s="410"/>
      <c r="AD74" s="418"/>
    </row>
    <row r="75" spans="1:30" s="409" customFormat="1" ht="14.1" customHeight="1">
      <c r="A75" s="410">
        <v>44930</v>
      </c>
      <c r="B75" s="409" t="s">
        <v>590</v>
      </c>
      <c r="C75" s="411" t="s">
        <v>591</v>
      </c>
      <c r="D75" s="413" t="s">
        <v>593</v>
      </c>
      <c r="E75" s="411">
        <v>6</v>
      </c>
      <c r="F75" s="411" t="s">
        <v>366</v>
      </c>
      <c r="G75" s="412" t="s">
        <v>592</v>
      </c>
      <c r="H75" s="410">
        <v>43923</v>
      </c>
      <c r="I75" s="409" t="s">
        <v>221</v>
      </c>
      <c r="J75" s="409" t="s">
        <v>221</v>
      </c>
      <c r="K75" s="409">
        <v>1</v>
      </c>
      <c r="L75" s="411" t="s">
        <v>220</v>
      </c>
      <c r="M75" s="411"/>
      <c r="N75" s="415">
        <v>3</v>
      </c>
      <c r="O75" s="416"/>
      <c r="P75" s="422">
        <f t="shared" si="2"/>
        <v>0</v>
      </c>
      <c r="Q75" s="416" t="s">
        <v>220</v>
      </c>
      <c r="R75" s="409" t="s">
        <v>221</v>
      </c>
      <c r="S75" s="409" t="s">
        <v>221</v>
      </c>
      <c r="T75" s="417" t="s">
        <v>67</v>
      </c>
      <c r="U75" s="409" t="str">
        <f t="shared" si="3"/>
        <v>2019</v>
      </c>
      <c r="AA75" s="410"/>
      <c r="AD75" s="418"/>
    </row>
    <row r="76" spans="1:30" s="409" customFormat="1" ht="14.1" customHeight="1">
      <c r="A76" s="410">
        <v>44928</v>
      </c>
      <c r="B76" s="409" t="s">
        <v>323</v>
      </c>
      <c r="C76" s="411" t="s">
        <v>594</v>
      </c>
      <c r="D76" s="413" t="s">
        <v>596</v>
      </c>
      <c r="E76" s="411">
        <v>5</v>
      </c>
      <c r="F76" s="411" t="s">
        <v>381</v>
      </c>
      <c r="G76" s="412" t="s">
        <v>595</v>
      </c>
      <c r="H76" s="410">
        <v>43867</v>
      </c>
      <c r="I76" s="409" t="s">
        <v>221</v>
      </c>
      <c r="J76" s="409" t="s">
        <v>221</v>
      </c>
      <c r="K76" s="409">
        <v>1</v>
      </c>
      <c r="L76" s="411" t="s">
        <v>221</v>
      </c>
      <c r="M76" s="411" t="s">
        <v>442</v>
      </c>
      <c r="N76" s="415">
        <v>2</v>
      </c>
      <c r="O76" s="416">
        <v>2</v>
      </c>
      <c r="P76" s="422">
        <f t="shared" si="2"/>
        <v>0.5</v>
      </c>
      <c r="Q76" s="416" t="s">
        <v>220</v>
      </c>
      <c r="R76" s="409" t="s">
        <v>221</v>
      </c>
      <c r="S76" s="409" t="s">
        <v>221</v>
      </c>
      <c r="T76" s="417" t="s">
        <v>597</v>
      </c>
      <c r="U76" s="409" t="str">
        <f t="shared" si="3"/>
        <v>2019</v>
      </c>
      <c r="AA76" s="410"/>
      <c r="AD76" s="418"/>
    </row>
    <row r="77" spans="1:30" s="409" customFormat="1" ht="14.1" customHeight="1">
      <c r="A77" s="410">
        <v>44935</v>
      </c>
      <c r="B77" s="409" t="s">
        <v>323</v>
      </c>
      <c r="C77" s="411" t="s">
        <v>598</v>
      </c>
      <c r="D77" s="413" t="s">
        <v>601</v>
      </c>
      <c r="E77" s="411">
        <v>10</v>
      </c>
      <c r="F77" s="411" t="s">
        <v>599</v>
      </c>
      <c r="G77" s="412" t="s">
        <v>600</v>
      </c>
      <c r="H77" s="410">
        <v>43983</v>
      </c>
      <c r="I77" s="409" t="s">
        <v>221</v>
      </c>
      <c r="J77" s="409" t="s">
        <v>221</v>
      </c>
      <c r="K77" s="409">
        <v>1</v>
      </c>
      <c r="L77" s="411" t="s">
        <v>221</v>
      </c>
      <c r="M77" s="411" t="s">
        <v>602</v>
      </c>
      <c r="N77" s="415">
        <v>2</v>
      </c>
      <c r="O77" s="416">
        <f>1.1</f>
        <v>1.1000000000000001</v>
      </c>
      <c r="P77" s="422">
        <f t="shared" si="2"/>
        <v>0.35483870967741937</v>
      </c>
      <c r="Q77" s="416" t="s">
        <v>220</v>
      </c>
      <c r="R77" s="409" t="s">
        <v>221</v>
      </c>
      <c r="S77" s="409" t="s">
        <v>221</v>
      </c>
      <c r="T77" s="417" t="s">
        <v>603</v>
      </c>
      <c r="U77" s="409" t="str">
        <f t="shared" si="3"/>
        <v>2019</v>
      </c>
      <c r="AA77" s="410"/>
      <c r="AD77" s="418"/>
    </row>
    <row r="78" spans="1:30" s="409" customFormat="1" ht="14.1" customHeight="1">
      <c r="A78" s="410">
        <v>44938</v>
      </c>
      <c r="B78" s="409" t="s">
        <v>338</v>
      </c>
      <c r="C78" s="411" t="s">
        <v>604</v>
      </c>
      <c r="D78" s="413" t="s">
        <v>605</v>
      </c>
      <c r="E78" s="411">
        <v>6</v>
      </c>
      <c r="F78" s="411" t="s">
        <v>347</v>
      </c>
      <c r="G78" s="412" t="s">
        <v>348</v>
      </c>
      <c r="H78" s="410">
        <v>43872</v>
      </c>
      <c r="I78" s="409" t="s">
        <v>221</v>
      </c>
      <c r="J78" s="409" t="s">
        <v>221</v>
      </c>
      <c r="K78" s="409">
        <v>1</v>
      </c>
      <c r="L78" s="411" t="s">
        <v>221</v>
      </c>
      <c r="M78" s="411" t="s">
        <v>602</v>
      </c>
      <c r="N78" s="415">
        <v>2</v>
      </c>
      <c r="O78" s="416">
        <f>1.1</f>
        <v>1.1000000000000001</v>
      </c>
      <c r="P78" s="422">
        <f t="shared" si="2"/>
        <v>0.35483870967741937</v>
      </c>
      <c r="Q78" s="416" t="s">
        <v>220</v>
      </c>
      <c r="R78" s="409" t="s">
        <v>221</v>
      </c>
      <c r="S78" s="409" t="s">
        <v>221</v>
      </c>
      <c r="T78" s="417" t="s">
        <v>67</v>
      </c>
      <c r="U78" s="409" t="str">
        <f t="shared" si="3"/>
        <v>2019</v>
      </c>
      <c r="AA78" s="410"/>
      <c r="AD78" s="418"/>
    </row>
    <row r="79" spans="1:30" s="409" customFormat="1" ht="14.1" customHeight="1">
      <c r="A79" s="410">
        <v>44938</v>
      </c>
      <c r="B79" s="409" t="s">
        <v>328</v>
      </c>
      <c r="C79" s="411" t="s">
        <v>606</v>
      </c>
      <c r="D79" s="413" t="s">
        <v>608</v>
      </c>
      <c r="E79" s="411">
        <v>6</v>
      </c>
      <c r="F79" s="411" t="s">
        <v>347</v>
      </c>
      <c r="G79" s="412" t="s">
        <v>607</v>
      </c>
      <c r="H79" s="410">
        <v>43872</v>
      </c>
      <c r="I79" s="409" t="s">
        <v>221</v>
      </c>
      <c r="J79" s="409" t="s">
        <v>221</v>
      </c>
      <c r="K79" s="409">
        <v>1</v>
      </c>
      <c r="L79" s="411" t="s">
        <v>220</v>
      </c>
      <c r="M79" s="411"/>
      <c r="N79" s="415">
        <v>3</v>
      </c>
      <c r="O79" s="416"/>
      <c r="P79" s="422">
        <f t="shared" si="2"/>
        <v>0</v>
      </c>
      <c r="Q79" s="416" t="s">
        <v>220</v>
      </c>
      <c r="R79" s="409" t="s">
        <v>221</v>
      </c>
      <c r="S79" s="409" t="s">
        <v>221</v>
      </c>
      <c r="T79" s="417" t="s">
        <v>67</v>
      </c>
      <c r="U79" s="409" t="str">
        <f t="shared" si="3"/>
        <v>2019</v>
      </c>
      <c r="AA79" s="410"/>
      <c r="AD79" s="418"/>
    </row>
    <row r="80" spans="1:30" s="409" customFormat="1" ht="14.1" customHeight="1">
      <c r="A80" s="410">
        <v>44938</v>
      </c>
      <c r="B80" s="409" t="s">
        <v>328</v>
      </c>
      <c r="C80" s="411" t="s">
        <v>609</v>
      </c>
      <c r="D80" s="413" t="s">
        <v>611</v>
      </c>
      <c r="E80" s="411">
        <v>7</v>
      </c>
      <c r="F80" s="411" t="s">
        <v>347</v>
      </c>
      <c r="G80" s="412" t="s">
        <v>610</v>
      </c>
      <c r="H80" s="410">
        <v>43872</v>
      </c>
      <c r="I80" s="409" t="s">
        <v>221</v>
      </c>
      <c r="J80" s="409" t="s">
        <v>221</v>
      </c>
      <c r="K80" s="409">
        <v>1</v>
      </c>
      <c r="L80" s="411" t="s">
        <v>221</v>
      </c>
      <c r="M80" s="411" t="s">
        <v>224</v>
      </c>
      <c r="N80" s="415">
        <v>3</v>
      </c>
      <c r="O80" s="416">
        <f>1/7</f>
        <v>0.14285714285714285</v>
      </c>
      <c r="P80" s="422">
        <f t="shared" si="2"/>
        <v>4.5454545454545456E-2</v>
      </c>
      <c r="Q80" s="416" t="s">
        <v>220</v>
      </c>
      <c r="R80" s="409" t="s">
        <v>221</v>
      </c>
      <c r="S80" s="409" t="s">
        <v>221</v>
      </c>
      <c r="T80" s="417" t="s">
        <v>612</v>
      </c>
      <c r="U80" s="409" t="str">
        <f t="shared" si="3"/>
        <v>2019</v>
      </c>
      <c r="AA80" s="410"/>
      <c r="AD80" s="418"/>
    </row>
    <row r="81" spans="1:30" s="409" customFormat="1" ht="14.1" customHeight="1">
      <c r="A81" s="410">
        <v>44935</v>
      </c>
      <c r="B81" s="409" t="s">
        <v>323</v>
      </c>
      <c r="C81" s="411" t="s">
        <v>613</v>
      </c>
      <c r="D81" s="413" t="s">
        <v>615</v>
      </c>
      <c r="E81" s="411">
        <v>10</v>
      </c>
      <c r="F81" s="411" t="s">
        <v>599</v>
      </c>
      <c r="G81" s="412" t="s">
        <v>614</v>
      </c>
      <c r="H81" s="410">
        <v>43890</v>
      </c>
      <c r="I81" s="409" t="s">
        <v>220</v>
      </c>
      <c r="J81" s="409" t="s">
        <v>220</v>
      </c>
      <c r="K81" s="409">
        <v>2</v>
      </c>
      <c r="L81" s="411" t="s">
        <v>221</v>
      </c>
      <c r="M81" s="411" t="s">
        <v>224</v>
      </c>
      <c r="N81" s="415">
        <v>0</v>
      </c>
      <c r="O81" s="416">
        <f>1/7</f>
        <v>0.14285714285714285</v>
      </c>
      <c r="P81" s="422">
        <f t="shared" si="2"/>
        <v>1</v>
      </c>
      <c r="Q81" s="416" t="s">
        <v>220</v>
      </c>
      <c r="R81" s="409" t="s">
        <v>220</v>
      </c>
      <c r="S81" s="409" t="s">
        <v>220</v>
      </c>
      <c r="T81" s="417" t="s">
        <v>616</v>
      </c>
      <c r="U81" s="409" t="str">
        <f t="shared" si="3"/>
        <v>2019</v>
      </c>
      <c r="AA81" s="410"/>
      <c r="AD81" s="418"/>
    </row>
    <row r="82" spans="1:30" s="409" customFormat="1" ht="14.1" customHeight="1">
      <c r="A82" s="410">
        <v>44933</v>
      </c>
      <c r="B82" s="409" t="s">
        <v>318</v>
      </c>
      <c r="C82" s="411" t="s">
        <v>617</v>
      </c>
      <c r="D82" s="413" t="s">
        <v>619</v>
      </c>
      <c r="E82" s="411">
        <v>6</v>
      </c>
      <c r="F82" s="411" t="s">
        <v>385</v>
      </c>
      <c r="G82" s="412" t="s">
        <v>618</v>
      </c>
      <c r="H82" s="410">
        <v>43812</v>
      </c>
      <c r="I82" s="409" t="s">
        <v>221</v>
      </c>
      <c r="J82" s="409" t="s">
        <v>221</v>
      </c>
      <c r="K82" s="409">
        <v>1</v>
      </c>
      <c r="L82" s="411" t="s">
        <v>221</v>
      </c>
      <c r="M82" s="411" t="s">
        <v>442</v>
      </c>
      <c r="N82" s="415">
        <v>2</v>
      </c>
      <c r="O82" s="416">
        <v>1</v>
      </c>
      <c r="P82" s="422">
        <f t="shared" si="2"/>
        <v>0.33333333333333331</v>
      </c>
      <c r="Q82" s="416" t="s">
        <v>220</v>
      </c>
      <c r="R82" s="409" t="s">
        <v>221</v>
      </c>
      <c r="S82" s="409" t="s">
        <v>221</v>
      </c>
      <c r="T82" s="417" t="s">
        <v>67</v>
      </c>
      <c r="U82" s="409" t="str">
        <f t="shared" si="3"/>
        <v>2019</v>
      </c>
      <c r="AA82" s="410"/>
      <c r="AD82" s="418"/>
    </row>
    <row r="83" spans="1:30" s="409" customFormat="1" ht="14.1" customHeight="1">
      <c r="A83" s="410">
        <v>44933</v>
      </c>
      <c r="B83" s="409" t="s">
        <v>338</v>
      </c>
      <c r="C83" s="411" t="s">
        <v>620</v>
      </c>
      <c r="D83" s="413" t="s">
        <v>622</v>
      </c>
      <c r="E83" s="411">
        <v>6</v>
      </c>
      <c r="F83" s="411" t="s">
        <v>466</v>
      </c>
      <c r="G83" s="412" t="s">
        <v>621</v>
      </c>
      <c r="H83" s="410">
        <v>43904</v>
      </c>
      <c r="I83" s="409" t="s">
        <v>221</v>
      </c>
      <c r="J83" s="409" t="s">
        <v>221</v>
      </c>
      <c r="K83" s="409">
        <v>1</v>
      </c>
      <c r="L83" s="411" t="s">
        <v>220</v>
      </c>
      <c r="M83" s="411"/>
      <c r="N83" s="415">
        <v>3</v>
      </c>
      <c r="O83" s="416"/>
      <c r="P83" s="422">
        <f t="shared" si="2"/>
        <v>0</v>
      </c>
      <c r="Q83" s="416" t="s">
        <v>220</v>
      </c>
      <c r="R83" s="409" t="s">
        <v>221</v>
      </c>
      <c r="S83" s="409" t="s">
        <v>221</v>
      </c>
      <c r="T83" s="417" t="s">
        <v>623</v>
      </c>
      <c r="U83" s="409" t="str">
        <f t="shared" si="3"/>
        <v>2019</v>
      </c>
      <c r="AA83" s="410"/>
      <c r="AD83" s="418"/>
    </row>
    <row r="84" spans="1:30" s="409" customFormat="1" ht="14.1" customHeight="1">
      <c r="A84" s="410">
        <v>44940</v>
      </c>
      <c r="B84" s="409" t="s">
        <v>318</v>
      </c>
      <c r="C84" s="411" t="s">
        <v>624</v>
      </c>
      <c r="D84" s="413" t="s">
        <v>626</v>
      </c>
      <c r="E84" s="411">
        <v>6</v>
      </c>
      <c r="F84" s="411" t="s">
        <v>430</v>
      </c>
      <c r="G84" s="412" t="s">
        <v>625</v>
      </c>
      <c r="H84" s="410">
        <v>43822</v>
      </c>
      <c r="I84" s="409" t="s">
        <v>221</v>
      </c>
      <c r="J84" s="409" t="s">
        <v>221</v>
      </c>
      <c r="K84" s="409">
        <v>1</v>
      </c>
      <c r="L84" s="411" t="s">
        <v>221</v>
      </c>
      <c r="M84" s="411" t="s">
        <v>548</v>
      </c>
      <c r="N84" s="415">
        <v>2</v>
      </c>
      <c r="O84" s="416">
        <v>2</v>
      </c>
      <c r="P84" s="422">
        <f t="shared" si="2"/>
        <v>0.5</v>
      </c>
      <c r="Q84" s="416" t="s">
        <v>220</v>
      </c>
      <c r="R84" s="409" t="s">
        <v>221</v>
      </c>
      <c r="S84" s="409" t="s">
        <v>221</v>
      </c>
      <c r="T84" s="417" t="s">
        <v>67</v>
      </c>
      <c r="U84" s="409" t="str">
        <f t="shared" si="3"/>
        <v>2019</v>
      </c>
      <c r="AA84" s="410"/>
      <c r="AD84" s="418"/>
    </row>
    <row r="85" spans="1:30" s="409" customFormat="1" ht="14.1" customHeight="1">
      <c r="A85" s="410">
        <v>44933</v>
      </c>
      <c r="B85" s="409" t="s">
        <v>323</v>
      </c>
      <c r="C85" s="411" t="s">
        <v>627</v>
      </c>
      <c r="D85" s="413" t="s">
        <v>629</v>
      </c>
      <c r="E85" s="411">
        <v>10</v>
      </c>
      <c r="F85" s="411" t="s">
        <v>385</v>
      </c>
      <c r="G85" s="412" t="s">
        <v>628</v>
      </c>
      <c r="H85" s="410">
        <v>43882</v>
      </c>
      <c r="I85" s="409" t="s">
        <v>221</v>
      </c>
      <c r="J85" s="409" t="s">
        <v>221</v>
      </c>
      <c r="K85" s="409">
        <v>1</v>
      </c>
      <c r="L85" s="411" t="s">
        <v>220</v>
      </c>
      <c r="M85" s="411"/>
      <c r="N85" s="415">
        <v>3</v>
      </c>
      <c r="O85" s="416"/>
      <c r="P85" s="422">
        <f t="shared" si="2"/>
        <v>0</v>
      </c>
      <c r="Q85" s="416" t="s">
        <v>220</v>
      </c>
      <c r="R85" s="409" t="s">
        <v>221</v>
      </c>
      <c r="S85" s="409" t="s">
        <v>221</v>
      </c>
      <c r="T85" s="417" t="s">
        <v>67</v>
      </c>
      <c r="U85" s="409" t="str">
        <f t="shared" si="3"/>
        <v>2019</v>
      </c>
      <c r="AA85" s="410"/>
      <c r="AD85" s="418"/>
    </row>
    <row r="86" spans="1:30" s="409" customFormat="1" ht="14.1" customHeight="1">
      <c r="A86" s="410">
        <v>44928</v>
      </c>
      <c r="B86" s="409" t="s">
        <v>630</v>
      </c>
      <c r="C86" s="411" t="s">
        <v>631</v>
      </c>
      <c r="D86" s="413" t="s">
        <v>633</v>
      </c>
      <c r="E86" s="411">
        <v>8</v>
      </c>
      <c r="F86" s="411" t="s">
        <v>381</v>
      </c>
      <c r="G86" s="412" t="s">
        <v>632</v>
      </c>
      <c r="H86" s="410">
        <v>43876</v>
      </c>
      <c r="I86" s="409" t="s">
        <v>221</v>
      </c>
      <c r="J86" s="409" t="s">
        <v>221</v>
      </c>
      <c r="K86" s="409">
        <v>1</v>
      </c>
      <c r="L86" s="411" t="s">
        <v>221</v>
      </c>
      <c r="M86" s="411" t="s">
        <v>548</v>
      </c>
      <c r="N86" s="415">
        <v>2</v>
      </c>
      <c r="O86" s="416">
        <v>2</v>
      </c>
      <c r="P86" s="422">
        <f t="shared" si="2"/>
        <v>0.5</v>
      </c>
      <c r="Q86" s="416" t="s">
        <v>220</v>
      </c>
      <c r="R86" s="409" t="s">
        <v>221</v>
      </c>
      <c r="S86" s="409" t="s">
        <v>221</v>
      </c>
      <c r="T86" s="417" t="s">
        <v>67</v>
      </c>
      <c r="U86" s="409" t="str">
        <f t="shared" si="3"/>
        <v>2019</v>
      </c>
      <c r="AA86" s="410"/>
      <c r="AD86" s="418"/>
    </row>
    <row r="87" spans="1:30" s="409" customFormat="1" ht="14.1" customHeight="1">
      <c r="A87" s="410">
        <v>44940</v>
      </c>
      <c r="B87" s="409" t="s">
        <v>338</v>
      </c>
      <c r="C87" s="411" t="s">
        <v>634</v>
      </c>
      <c r="D87" s="413" t="s">
        <v>636</v>
      </c>
      <c r="E87" s="411">
        <v>5</v>
      </c>
      <c r="F87" s="411" t="s">
        <v>330</v>
      </c>
      <c r="G87" s="412" t="s">
        <v>635</v>
      </c>
      <c r="H87" s="410">
        <v>43868</v>
      </c>
      <c r="I87" s="409" t="s">
        <v>221</v>
      </c>
      <c r="J87" s="409" t="s">
        <v>221</v>
      </c>
      <c r="K87" s="409">
        <v>1</v>
      </c>
      <c r="L87" s="411" t="s">
        <v>221</v>
      </c>
      <c r="M87" s="411" t="s">
        <v>548</v>
      </c>
      <c r="N87" s="415">
        <v>3</v>
      </c>
      <c r="O87" s="416">
        <v>2</v>
      </c>
      <c r="P87" s="422">
        <f t="shared" si="2"/>
        <v>0.4</v>
      </c>
      <c r="Q87" s="416" t="s">
        <v>220</v>
      </c>
      <c r="R87" s="409" t="s">
        <v>221</v>
      </c>
      <c r="S87" s="409" t="s">
        <v>221</v>
      </c>
      <c r="T87" s="417" t="s">
        <v>67</v>
      </c>
      <c r="U87" s="409" t="str">
        <f t="shared" si="3"/>
        <v>2019</v>
      </c>
      <c r="AA87" s="410"/>
      <c r="AD87" s="418"/>
    </row>
    <row r="88" spans="1:30" s="409" customFormat="1" ht="14.1" customHeight="1">
      <c r="A88" s="410">
        <v>44957</v>
      </c>
      <c r="B88" s="409" t="s">
        <v>323</v>
      </c>
      <c r="C88" s="411" t="s">
        <v>637</v>
      </c>
      <c r="D88" s="413" t="s">
        <v>639</v>
      </c>
      <c r="E88" s="411">
        <v>4</v>
      </c>
      <c r="F88" s="411" t="s">
        <v>470</v>
      </c>
      <c r="G88" s="412" t="s">
        <v>638</v>
      </c>
      <c r="H88" s="410">
        <v>43950</v>
      </c>
      <c r="I88" s="409" t="s">
        <v>221</v>
      </c>
      <c r="J88" s="409" t="s">
        <v>221</v>
      </c>
      <c r="K88" s="409">
        <v>1</v>
      </c>
      <c r="L88" s="411" t="s">
        <v>221</v>
      </c>
      <c r="M88" s="411" t="s">
        <v>225</v>
      </c>
      <c r="N88" s="415">
        <v>2</v>
      </c>
      <c r="O88" s="416">
        <v>1</v>
      </c>
      <c r="P88" s="422">
        <f t="shared" si="2"/>
        <v>0.33333333333333331</v>
      </c>
      <c r="Q88" s="416" t="s">
        <v>220</v>
      </c>
      <c r="R88" s="409" t="s">
        <v>221</v>
      </c>
      <c r="S88" s="409" t="s">
        <v>221</v>
      </c>
      <c r="T88" s="417" t="s">
        <v>67</v>
      </c>
      <c r="U88" s="409" t="str">
        <f t="shared" si="3"/>
        <v>2019</v>
      </c>
      <c r="AA88" s="410"/>
      <c r="AD88" s="418"/>
    </row>
    <row r="89" spans="1:30" s="409" customFormat="1" ht="14.1" customHeight="1">
      <c r="A89" s="410">
        <v>44946</v>
      </c>
      <c r="B89" s="409" t="s">
        <v>323</v>
      </c>
      <c r="C89" s="411" t="s">
        <v>640</v>
      </c>
      <c r="D89" s="413" t="s">
        <v>643</v>
      </c>
      <c r="E89" s="411">
        <v>4</v>
      </c>
      <c r="F89" s="411" t="s">
        <v>641</v>
      </c>
      <c r="G89" s="412" t="s">
        <v>642</v>
      </c>
      <c r="H89" s="410">
        <v>43812</v>
      </c>
      <c r="I89" s="409" t="s">
        <v>221</v>
      </c>
      <c r="J89" s="409" t="s">
        <v>221</v>
      </c>
      <c r="K89" s="409">
        <v>1</v>
      </c>
      <c r="L89" s="411" t="s">
        <v>220</v>
      </c>
      <c r="M89" s="411"/>
      <c r="N89" s="415">
        <v>2</v>
      </c>
      <c r="O89" s="416"/>
      <c r="P89" s="422">
        <f t="shared" si="2"/>
        <v>0</v>
      </c>
      <c r="Q89" s="416" t="s">
        <v>220</v>
      </c>
      <c r="R89" s="409" t="s">
        <v>221</v>
      </c>
      <c r="S89" s="409" t="s">
        <v>221</v>
      </c>
      <c r="T89" s="417" t="s">
        <v>67</v>
      </c>
      <c r="U89" s="409" t="str">
        <f t="shared" si="3"/>
        <v>2019</v>
      </c>
      <c r="AA89" s="410"/>
      <c r="AD89" s="418"/>
    </row>
    <row r="90" spans="1:30" s="409" customFormat="1" ht="14.1" customHeight="1">
      <c r="A90" s="410">
        <v>44932</v>
      </c>
      <c r="B90" s="409" t="s">
        <v>318</v>
      </c>
      <c r="C90" s="411" t="s">
        <v>644</v>
      </c>
      <c r="D90" s="413" t="s">
        <v>646</v>
      </c>
      <c r="E90" s="411">
        <v>6</v>
      </c>
      <c r="F90" s="411" t="s">
        <v>448</v>
      </c>
      <c r="G90" s="412" t="s">
        <v>645</v>
      </c>
      <c r="H90" s="410">
        <v>43895</v>
      </c>
      <c r="I90" s="409" t="s">
        <v>221</v>
      </c>
      <c r="J90" s="409" t="s">
        <v>221</v>
      </c>
      <c r="K90" s="409">
        <v>1</v>
      </c>
      <c r="L90" s="411" t="s">
        <v>221</v>
      </c>
      <c r="M90" s="411" t="s">
        <v>442</v>
      </c>
      <c r="N90" s="415">
        <v>2</v>
      </c>
      <c r="O90" s="416">
        <f>1/7</f>
        <v>0.14285714285714285</v>
      </c>
      <c r="P90" s="422">
        <f t="shared" si="2"/>
        <v>6.6666666666666666E-2</v>
      </c>
      <c r="Q90" s="416" t="s">
        <v>220</v>
      </c>
      <c r="R90" s="409" t="s">
        <v>221</v>
      </c>
      <c r="S90" s="409" t="s">
        <v>221</v>
      </c>
      <c r="T90" s="417" t="s">
        <v>67</v>
      </c>
      <c r="U90" s="409" t="str">
        <f t="shared" si="3"/>
        <v>2019</v>
      </c>
      <c r="AA90" s="410"/>
      <c r="AD90" s="418"/>
    </row>
    <row r="91" spans="1:30" s="409" customFormat="1" ht="14.1" customHeight="1">
      <c r="A91" s="410">
        <v>44932</v>
      </c>
      <c r="B91" s="409" t="s">
        <v>323</v>
      </c>
      <c r="C91" s="411" t="s">
        <v>647</v>
      </c>
      <c r="D91" s="413" t="s">
        <v>649</v>
      </c>
      <c r="E91" s="411">
        <v>7</v>
      </c>
      <c r="F91" s="411" t="s">
        <v>325</v>
      </c>
      <c r="G91" s="412" t="s">
        <v>648</v>
      </c>
      <c r="H91" s="410">
        <v>43916</v>
      </c>
      <c r="I91" s="409" t="s">
        <v>221</v>
      </c>
      <c r="J91" s="409" t="s">
        <v>221</v>
      </c>
      <c r="K91" s="409">
        <v>1</v>
      </c>
      <c r="L91" s="411" t="s">
        <v>220</v>
      </c>
      <c r="M91" s="411"/>
      <c r="N91" s="415">
        <v>2</v>
      </c>
      <c r="O91" s="416"/>
      <c r="P91" s="422">
        <f t="shared" si="2"/>
        <v>0</v>
      </c>
      <c r="Q91" s="416" t="s">
        <v>220</v>
      </c>
      <c r="R91" s="409" t="s">
        <v>221</v>
      </c>
      <c r="S91" s="409" t="s">
        <v>221</v>
      </c>
      <c r="T91" s="417" t="s">
        <v>67</v>
      </c>
      <c r="U91" s="409" t="str">
        <f t="shared" si="3"/>
        <v>2019</v>
      </c>
      <c r="AA91" s="410"/>
      <c r="AD91" s="418"/>
    </row>
    <row r="92" spans="1:30" s="409" customFormat="1" ht="14.1" customHeight="1">
      <c r="A92" s="410">
        <v>44929</v>
      </c>
      <c r="B92" s="409" t="s">
        <v>323</v>
      </c>
      <c r="C92" s="411" t="s">
        <v>650</v>
      </c>
      <c r="D92" s="413" t="s">
        <v>652</v>
      </c>
      <c r="E92" s="411">
        <v>3</v>
      </c>
      <c r="F92" s="411" t="s">
        <v>398</v>
      </c>
      <c r="G92" s="412" t="s">
        <v>651</v>
      </c>
      <c r="H92" s="410">
        <v>43932</v>
      </c>
      <c r="I92" s="409" t="s">
        <v>221</v>
      </c>
      <c r="J92" s="409" t="s">
        <v>221</v>
      </c>
      <c r="K92" s="409">
        <v>1</v>
      </c>
      <c r="L92" s="411" t="s">
        <v>220</v>
      </c>
      <c r="M92" s="411"/>
      <c r="N92" s="415">
        <v>2</v>
      </c>
      <c r="O92" s="416"/>
      <c r="P92" s="422">
        <f t="shared" si="2"/>
        <v>0</v>
      </c>
      <c r="Q92" s="416" t="s">
        <v>220</v>
      </c>
      <c r="R92" s="409" t="s">
        <v>221</v>
      </c>
      <c r="S92" s="409" t="s">
        <v>221</v>
      </c>
      <c r="T92" s="417" t="s">
        <v>67</v>
      </c>
      <c r="U92" s="409" t="str">
        <f t="shared" si="3"/>
        <v>2019</v>
      </c>
      <c r="AA92" s="410"/>
      <c r="AD92" s="418"/>
    </row>
    <row r="93" spans="1:30" s="409" customFormat="1" ht="14.1" customHeight="1">
      <c r="A93" s="410">
        <v>44928</v>
      </c>
      <c r="B93" s="409" t="s">
        <v>338</v>
      </c>
      <c r="C93" s="411" t="s">
        <v>653</v>
      </c>
      <c r="D93" s="413" t="s">
        <v>655</v>
      </c>
      <c r="E93" s="411">
        <v>6</v>
      </c>
      <c r="F93" s="411" t="s">
        <v>583</v>
      </c>
      <c r="G93" s="412" t="s">
        <v>654</v>
      </c>
      <c r="H93" s="410">
        <v>43894</v>
      </c>
      <c r="I93" s="409" t="s">
        <v>221</v>
      </c>
      <c r="J93" s="409" t="s">
        <v>221</v>
      </c>
      <c r="K93" s="409">
        <v>1</v>
      </c>
      <c r="L93" s="411" t="s">
        <v>220</v>
      </c>
      <c r="M93" s="411"/>
      <c r="N93" s="415">
        <v>3</v>
      </c>
      <c r="O93" s="416"/>
      <c r="P93" s="422">
        <f t="shared" si="2"/>
        <v>0</v>
      </c>
      <c r="Q93" s="416" t="s">
        <v>220</v>
      </c>
      <c r="R93" s="409" t="s">
        <v>221</v>
      </c>
      <c r="S93" s="409" t="s">
        <v>221</v>
      </c>
      <c r="T93" s="417" t="s">
        <v>67</v>
      </c>
      <c r="U93" s="409" t="str">
        <f t="shared" si="3"/>
        <v>2019</v>
      </c>
      <c r="AA93" s="410"/>
      <c r="AD93" s="418"/>
    </row>
    <row r="94" spans="1:30" s="409" customFormat="1" ht="14.1" customHeight="1">
      <c r="A94" s="410">
        <v>44932</v>
      </c>
      <c r="B94" s="409" t="s">
        <v>328</v>
      </c>
      <c r="C94" s="411" t="s">
        <v>656</v>
      </c>
      <c r="D94" s="413" t="s">
        <v>659</v>
      </c>
      <c r="E94" s="411">
        <v>6</v>
      </c>
      <c r="F94" s="411" t="s">
        <v>657</v>
      </c>
      <c r="G94" s="412" t="s">
        <v>658</v>
      </c>
      <c r="H94" s="410">
        <v>43949</v>
      </c>
      <c r="I94" s="409" t="s">
        <v>220</v>
      </c>
      <c r="J94" s="409" t="s">
        <v>220</v>
      </c>
      <c r="K94" s="409">
        <v>1</v>
      </c>
      <c r="L94" s="411" t="s">
        <v>221</v>
      </c>
      <c r="M94" s="411" t="s">
        <v>392</v>
      </c>
      <c r="N94" s="415">
        <v>0</v>
      </c>
      <c r="O94" s="416">
        <f>0.1+1</f>
        <v>1.1000000000000001</v>
      </c>
      <c r="P94" s="422">
        <f t="shared" si="2"/>
        <v>1</v>
      </c>
      <c r="Q94" s="416" t="s">
        <v>220</v>
      </c>
      <c r="R94" s="409" t="s">
        <v>220</v>
      </c>
      <c r="S94" s="409" t="s">
        <v>220</v>
      </c>
      <c r="T94" s="417" t="s">
        <v>660</v>
      </c>
      <c r="U94" s="409" t="str">
        <f t="shared" si="3"/>
        <v>2019</v>
      </c>
      <c r="AA94" s="410"/>
      <c r="AD94" s="418"/>
    </row>
    <row r="95" spans="1:30" s="409" customFormat="1" ht="14.1" customHeight="1">
      <c r="A95" s="410">
        <v>44937</v>
      </c>
      <c r="B95" s="409" t="s">
        <v>328</v>
      </c>
      <c r="C95" s="411" t="s">
        <v>661</v>
      </c>
      <c r="D95" s="413" t="s">
        <v>663</v>
      </c>
      <c r="E95" s="411">
        <v>5</v>
      </c>
      <c r="F95" s="411" t="s">
        <v>356</v>
      </c>
      <c r="G95" s="412" t="s">
        <v>662</v>
      </c>
      <c r="H95" s="410">
        <v>43918</v>
      </c>
      <c r="I95" s="409" t="s">
        <v>221</v>
      </c>
      <c r="J95" s="409" t="s">
        <v>221</v>
      </c>
      <c r="K95" s="409">
        <v>1</v>
      </c>
      <c r="L95" s="411" t="s">
        <v>220</v>
      </c>
      <c r="M95" s="411"/>
      <c r="N95" s="415">
        <v>2</v>
      </c>
      <c r="O95" s="416"/>
      <c r="P95" s="422">
        <f t="shared" si="2"/>
        <v>0</v>
      </c>
      <c r="Q95" s="416" t="s">
        <v>220</v>
      </c>
      <c r="R95" s="409" t="s">
        <v>221</v>
      </c>
      <c r="S95" s="409" t="s">
        <v>221</v>
      </c>
      <c r="T95" s="417" t="s">
        <v>67</v>
      </c>
      <c r="U95" s="409" t="str">
        <f t="shared" si="3"/>
        <v>2019</v>
      </c>
      <c r="AA95" s="410"/>
      <c r="AD95" s="418"/>
    </row>
    <row r="96" spans="1:30" s="409" customFormat="1" ht="14.1" customHeight="1">
      <c r="A96" s="410">
        <v>44945</v>
      </c>
      <c r="B96" s="409" t="s">
        <v>338</v>
      </c>
      <c r="C96" s="411" t="s">
        <v>664</v>
      </c>
      <c r="D96" s="413" t="s">
        <v>667</v>
      </c>
      <c r="E96" s="411">
        <v>6</v>
      </c>
      <c r="F96" s="411" t="s">
        <v>665</v>
      </c>
      <c r="G96" s="412" t="s">
        <v>666</v>
      </c>
      <c r="H96" s="410">
        <v>43902</v>
      </c>
      <c r="I96" s="409" t="s">
        <v>221</v>
      </c>
      <c r="J96" s="409" t="s">
        <v>221</v>
      </c>
      <c r="K96" s="409">
        <v>1</v>
      </c>
      <c r="L96" s="411" t="s">
        <v>220</v>
      </c>
      <c r="M96" s="411"/>
      <c r="N96" s="415">
        <v>3</v>
      </c>
      <c r="O96" s="416"/>
      <c r="P96" s="422">
        <f t="shared" si="2"/>
        <v>0</v>
      </c>
      <c r="Q96" s="416" t="s">
        <v>220</v>
      </c>
      <c r="R96" s="409" t="s">
        <v>221</v>
      </c>
      <c r="S96" s="409" t="s">
        <v>221</v>
      </c>
      <c r="T96" s="417" t="s">
        <v>67</v>
      </c>
      <c r="U96" s="409" t="str">
        <f t="shared" si="3"/>
        <v>2019</v>
      </c>
      <c r="AA96" s="410"/>
      <c r="AD96" s="418"/>
    </row>
    <row r="97" spans="1:30" s="409" customFormat="1" ht="14.1" customHeight="1">
      <c r="A97" s="410">
        <v>44928</v>
      </c>
      <c r="B97" s="409" t="s">
        <v>323</v>
      </c>
      <c r="C97" s="411" t="s">
        <v>668</v>
      </c>
      <c r="D97" s="413" t="s">
        <v>670</v>
      </c>
      <c r="E97" s="411">
        <v>9</v>
      </c>
      <c r="F97" s="411" t="s">
        <v>381</v>
      </c>
      <c r="G97" s="412" t="s">
        <v>669</v>
      </c>
      <c r="H97" s="410">
        <v>43945</v>
      </c>
      <c r="I97" s="409" t="s">
        <v>221</v>
      </c>
      <c r="J97" s="409" t="s">
        <v>221</v>
      </c>
      <c r="K97" s="409">
        <v>1</v>
      </c>
      <c r="L97" s="411" t="s">
        <v>220</v>
      </c>
      <c r="M97" s="411"/>
      <c r="N97" s="415">
        <v>3</v>
      </c>
      <c r="O97" s="416"/>
      <c r="P97" s="422">
        <f t="shared" si="2"/>
        <v>0</v>
      </c>
      <c r="Q97" s="416" t="s">
        <v>220</v>
      </c>
      <c r="R97" s="409" t="s">
        <v>221</v>
      </c>
      <c r="S97" s="409" t="s">
        <v>221</v>
      </c>
      <c r="T97" s="417" t="s">
        <v>67</v>
      </c>
      <c r="U97" s="409" t="str">
        <f t="shared" si="3"/>
        <v>2019</v>
      </c>
      <c r="AA97" s="410"/>
      <c r="AD97" s="418"/>
    </row>
    <row r="98" spans="1:30" s="409" customFormat="1" ht="14.1" customHeight="1">
      <c r="A98" s="410">
        <v>44944</v>
      </c>
      <c r="B98" s="409" t="s">
        <v>318</v>
      </c>
      <c r="C98" s="411" t="s">
        <v>671</v>
      </c>
      <c r="D98" s="413" t="s">
        <v>673</v>
      </c>
      <c r="E98" s="411">
        <v>3</v>
      </c>
      <c r="F98" s="411" t="s">
        <v>665</v>
      </c>
      <c r="G98" s="412" t="s">
        <v>672</v>
      </c>
      <c r="H98" s="410">
        <v>43903</v>
      </c>
      <c r="I98" s="409" t="s">
        <v>221</v>
      </c>
      <c r="J98" s="409" t="s">
        <v>221</v>
      </c>
      <c r="K98" s="409">
        <v>1</v>
      </c>
      <c r="L98" s="411" t="s">
        <v>220</v>
      </c>
      <c r="M98" s="411"/>
      <c r="N98" s="415">
        <v>2</v>
      </c>
      <c r="O98" s="416"/>
      <c r="P98" s="422">
        <f t="shared" si="2"/>
        <v>0</v>
      </c>
      <c r="Q98" s="416" t="s">
        <v>220</v>
      </c>
      <c r="R98" s="409" t="s">
        <v>221</v>
      </c>
      <c r="S98" s="409" t="s">
        <v>221</v>
      </c>
      <c r="T98" s="417" t="s">
        <v>67</v>
      </c>
      <c r="U98" s="409" t="str">
        <f t="shared" si="3"/>
        <v>2019</v>
      </c>
      <c r="AA98" s="410"/>
      <c r="AD98" s="418"/>
    </row>
    <row r="99" spans="1:30" s="409" customFormat="1" ht="14.1" customHeight="1">
      <c r="A99" s="410">
        <v>44929</v>
      </c>
      <c r="B99" s="409" t="s">
        <v>338</v>
      </c>
      <c r="C99" s="411" t="s">
        <v>674</v>
      </c>
      <c r="D99" s="413" t="s">
        <v>676</v>
      </c>
      <c r="E99" s="411">
        <v>9</v>
      </c>
      <c r="F99" s="411" t="s">
        <v>574</v>
      </c>
      <c r="G99" s="412" t="s">
        <v>675</v>
      </c>
      <c r="H99" s="410">
        <v>43918</v>
      </c>
      <c r="I99" s="409" t="s">
        <v>221</v>
      </c>
      <c r="J99" s="409" t="s">
        <v>221</v>
      </c>
      <c r="K99" s="409">
        <v>1</v>
      </c>
      <c r="L99" s="411" t="s">
        <v>221</v>
      </c>
      <c r="M99" s="411" t="s">
        <v>225</v>
      </c>
      <c r="N99" s="415">
        <v>3</v>
      </c>
      <c r="O99" s="416">
        <f>2/7</f>
        <v>0.2857142857142857</v>
      </c>
      <c r="P99" s="422">
        <f t="shared" si="2"/>
        <v>8.6956521739130432E-2</v>
      </c>
      <c r="Q99" s="416" t="s">
        <v>220</v>
      </c>
      <c r="R99" s="409" t="s">
        <v>221</v>
      </c>
      <c r="S99" s="409" t="s">
        <v>221</v>
      </c>
      <c r="T99" s="417" t="s">
        <v>67</v>
      </c>
      <c r="U99" s="409" t="str">
        <f t="shared" si="3"/>
        <v>2019</v>
      </c>
      <c r="AA99" s="410"/>
      <c r="AD99" s="418"/>
    </row>
    <row r="100" spans="1:30" s="409" customFormat="1" ht="14.1" customHeight="1">
      <c r="A100" s="410">
        <v>44946</v>
      </c>
      <c r="B100" s="409" t="s">
        <v>328</v>
      </c>
      <c r="C100" s="411" t="s">
        <v>677</v>
      </c>
      <c r="D100" s="413" t="s">
        <v>679</v>
      </c>
      <c r="E100" s="411">
        <v>6</v>
      </c>
      <c r="F100" s="411" t="s">
        <v>641</v>
      </c>
      <c r="G100" s="412" t="s">
        <v>678</v>
      </c>
      <c r="H100" s="410">
        <v>43902</v>
      </c>
      <c r="I100" s="409" t="s">
        <v>221</v>
      </c>
      <c r="J100" s="409" t="s">
        <v>221</v>
      </c>
      <c r="K100" s="409">
        <v>1</v>
      </c>
      <c r="L100" s="411" t="s">
        <v>221</v>
      </c>
      <c r="M100" s="411" t="s">
        <v>225</v>
      </c>
      <c r="N100" s="415">
        <v>3</v>
      </c>
      <c r="O100" s="416">
        <f>2/7</f>
        <v>0.2857142857142857</v>
      </c>
      <c r="P100" s="422">
        <f t="shared" si="2"/>
        <v>8.6956521739130432E-2</v>
      </c>
      <c r="Q100" s="416" t="s">
        <v>220</v>
      </c>
      <c r="R100" s="409" t="s">
        <v>221</v>
      </c>
      <c r="S100" s="409" t="s">
        <v>221</v>
      </c>
      <c r="T100" s="417" t="s">
        <v>67</v>
      </c>
      <c r="U100" s="409" t="str">
        <f t="shared" si="3"/>
        <v>2019</v>
      </c>
      <c r="AA100" s="410"/>
      <c r="AD100" s="418"/>
    </row>
    <row r="101" spans="1:30" s="409" customFormat="1" ht="14.1" customHeight="1">
      <c r="A101" s="410">
        <v>44932</v>
      </c>
      <c r="B101" s="409" t="s">
        <v>318</v>
      </c>
      <c r="C101" s="411" t="s">
        <v>680</v>
      </c>
      <c r="D101" s="413" t="s">
        <v>682</v>
      </c>
      <c r="E101" s="411">
        <v>9</v>
      </c>
      <c r="F101" s="411" t="s">
        <v>448</v>
      </c>
      <c r="G101" s="412" t="s">
        <v>681</v>
      </c>
      <c r="H101" s="410">
        <v>43895</v>
      </c>
      <c r="I101" s="409" t="s">
        <v>221</v>
      </c>
      <c r="J101" s="409" t="s">
        <v>221</v>
      </c>
      <c r="K101" s="409">
        <v>1</v>
      </c>
      <c r="L101" s="411" t="s">
        <v>220</v>
      </c>
      <c r="M101" s="411"/>
      <c r="N101" s="415">
        <v>3</v>
      </c>
      <c r="O101" s="416"/>
      <c r="P101" s="422">
        <f t="shared" si="2"/>
        <v>0</v>
      </c>
      <c r="Q101" s="416" t="s">
        <v>220</v>
      </c>
      <c r="R101" s="409" t="s">
        <v>221</v>
      </c>
      <c r="S101" s="409" t="s">
        <v>221</v>
      </c>
      <c r="T101" s="417" t="s">
        <v>67</v>
      </c>
      <c r="U101" s="409" t="str">
        <f t="shared" si="3"/>
        <v>2019</v>
      </c>
      <c r="AA101" s="410"/>
      <c r="AD101" s="418"/>
    </row>
    <row r="102" spans="1:30" s="409" customFormat="1" ht="14.1" customHeight="1">
      <c r="A102" s="410">
        <v>44942</v>
      </c>
      <c r="B102" s="409" t="s">
        <v>338</v>
      </c>
      <c r="C102" s="411" t="s">
        <v>683</v>
      </c>
      <c r="D102" s="413" t="s">
        <v>685</v>
      </c>
      <c r="E102" s="411">
        <v>8</v>
      </c>
      <c r="F102" s="411" t="s">
        <v>320</v>
      </c>
      <c r="G102" s="412" t="s">
        <v>684</v>
      </c>
      <c r="H102" s="410">
        <v>43929</v>
      </c>
      <c r="I102" s="409" t="s">
        <v>221</v>
      </c>
      <c r="J102" s="409" t="s">
        <v>221</v>
      </c>
      <c r="K102" s="409">
        <v>1</v>
      </c>
      <c r="L102" s="411" t="s">
        <v>220</v>
      </c>
      <c r="M102" s="411"/>
      <c r="N102" s="415">
        <v>3</v>
      </c>
      <c r="O102" s="416"/>
      <c r="P102" s="422">
        <f t="shared" si="2"/>
        <v>0</v>
      </c>
      <c r="Q102" s="416" t="s">
        <v>220</v>
      </c>
      <c r="R102" s="409" t="s">
        <v>221</v>
      </c>
      <c r="S102" s="409" t="s">
        <v>221</v>
      </c>
      <c r="T102" s="417" t="s">
        <v>67</v>
      </c>
      <c r="U102" s="409" t="str">
        <f t="shared" si="3"/>
        <v>2019</v>
      </c>
      <c r="AA102" s="410"/>
      <c r="AD102" s="418"/>
    </row>
    <row r="103" spans="1:30" s="409" customFormat="1" ht="14.1" customHeight="1">
      <c r="A103" s="410">
        <v>44933</v>
      </c>
      <c r="B103" s="409" t="s">
        <v>318</v>
      </c>
      <c r="C103" s="411" t="s">
        <v>686</v>
      </c>
      <c r="D103" s="413" t="s">
        <v>688</v>
      </c>
      <c r="E103" s="411">
        <v>9</v>
      </c>
      <c r="F103" s="411" t="s">
        <v>599</v>
      </c>
      <c r="G103" s="412" t="s">
        <v>687</v>
      </c>
      <c r="H103" s="410">
        <v>43931</v>
      </c>
      <c r="I103" s="409" t="s">
        <v>221</v>
      </c>
      <c r="J103" s="409" t="s">
        <v>221</v>
      </c>
      <c r="K103" s="409">
        <v>1</v>
      </c>
      <c r="L103" s="411" t="s">
        <v>221</v>
      </c>
      <c r="M103" s="411" t="s">
        <v>442</v>
      </c>
      <c r="N103" s="415">
        <v>3</v>
      </c>
      <c r="O103" s="416">
        <f>1/7</f>
        <v>0.14285714285714285</v>
      </c>
      <c r="P103" s="422">
        <f t="shared" si="2"/>
        <v>4.5454545454545456E-2</v>
      </c>
      <c r="Q103" s="416" t="s">
        <v>220</v>
      </c>
      <c r="R103" s="409" t="s">
        <v>221</v>
      </c>
      <c r="S103" s="409" t="s">
        <v>221</v>
      </c>
      <c r="T103" s="417" t="s">
        <v>67</v>
      </c>
      <c r="U103" s="409" t="str">
        <f t="shared" si="3"/>
        <v>2019</v>
      </c>
      <c r="AA103" s="410"/>
      <c r="AD103" s="418"/>
    </row>
    <row r="104" spans="1:30" s="409" customFormat="1" ht="14.1" customHeight="1">
      <c r="A104" s="410">
        <v>44938</v>
      </c>
      <c r="B104" s="409" t="s">
        <v>323</v>
      </c>
      <c r="C104" s="411" t="s">
        <v>689</v>
      </c>
      <c r="D104" s="413" t="s">
        <v>691</v>
      </c>
      <c r="E104" s="411">
        <v>9</v>
      </c>
      <c r="F104" s="411" t="s">
        <v>347</v>
      </c>
      <c r="G104" s="412" t="s">
        <v>690</v>
      </c>
      <c r="H104" s="410">
        <v>43925</v>
      </c>
      <c r="I104" s="409" t="s">
        <v>221</v>
      </c>
      <c r="J104" s="409" t="s">
        <v>221</v>
      </c>
      <c r="K104" s="409">
        <v>1</v>
      </c>
      <c r="L104" s="411" t="s">
        <v>221</v>
      </c>
      <c r="M104" s="411" t="s">
        <v>225</v>
      </c>
      <c r="N104" s="415">
        <v>3</v>
      </c>
      <c r="O104" s="416">
        <f>1/7</f>
        <v>0.14285714285714285</v>
      </c>
      <c r="P104" s="422">
        <f t="shared" si="2"/>
        <v>4.5454545454545456E-2</v>
      </c>
      <c r="Q104" s="416" t="s">
        <v>220</v>
      </c>
      <c r="R104" s="409" t="s">
        <v>221</v>
      </c>
      <c r="S104" s="409" t="s">
        <v>221</v>
      </c>
      <c r="T104" s="417" t="s">
        <v>67</v>
      </c>
      <c r="U104" s="409" t="str">
        <f t="shared" si="3"/>
        <v>2019</v>
      </c>
      <c r="AA104" s="410"/>
      <c r="AD104" s="418"/>
    </row>
    <row r="105" spans="1:30" s="409" customFormat="1" ht="14.1" customHeight="1">
      <c r="A105" s="410">
        <v>44930</v>
      </c>
      <c r="B105" s="409" t="s">
        <v>338</v>
      </c>
      <c r="C105" s="411" t="s">
        <v>692</v>
      </c>
      <c r="D105" s="413" t="s">
        <v>694</v>
      </c>
      <c r="E105" s="411">
        <v>8</v>
      </c>
      <c r="F105" s="411" t="s">
        <v>434</v>
      </c>
      <c r="G105" s="412" t="s">
        <v>693</v>
      </c>
      <c r="H105" s="410">
        <v>43939</v>
      </c>
      <c r="I105" s="409" t="s">
        <v>221</v>
      </c>
      <c r="J105" s="409" t="s">
        <v>221</v>
      </c>
      <c r="K105" s="409">
        <v>1</v>
      </c>
      <c r="L105" s="411" t="s">
        <v>220</v>
      </c>
      <c r="M105" s="411"/>
      <c r="N105" s="415">
        <v>3</v>
      </c>
      <c r="O105" s="416"/>
      <c r="P105" s="422">
        <f t="shared" si="2"/>
        <v>0</v>
      </c>
      <c r="Q105" s="416" t="s">
        <v>220</v>
      </c>
      <c r="R105" s="409" t="s">
        <v>221</v>
      </c>
      <c r="S105" s="409" t="s">
        <v>221</v>
      </c>
      <c r="T105" s="417" t="s">
        <v>67</v>
      </c>
      <c r="U105" s="409" t="str">
        <f t="shared" si="3"/>
        <v>2019</v>
      </c>
      <c r="AA105" s="410"/>
      <c r="AD105" s="418"/>
    </row>
    <row r="106" spans="1:30" s="409" customFormat="1" ht="14.1" customHeight="1">
      <c r="A106" s="410">
        <v>44933</v>
      </c>
      <c r="B106" s="409" t="s">
        <v>323</v>
      </c>
      <c r="C106" s="411" t="s">
        <v>695</v>
      </c>
      <c r="D106" s="413" t="s">
        <v>697</v>
      </c>
      <c r="E106" s="411">
        <v>4</v>
      </c>
      <c r="F106" s="411" t="s">
        <v>385</v>
      </c>
      <c r="G106" s="412" t="s">
        <v>696</v>
      </c>
      <c r="H106" s="410">
        <v>43983</v>
      </c>
      <c r="I106" s="409" t="s">
        <v>221</v>
      </c>
      <c r="J106" s="409" t="s">
        <v>221</v>
      </c>
      <c r="K106" s="409">
        <v>1</v>
      </c>
      <c r="L106" s="411" t="s">
        <v>221</v>
      </c>
      <c r="M106" s="411" t="s">
        <v>442</v>
      </c>
      <c r="N106" s="415">
        <v>3</v>
      </c>
      <c r="O106" s="416">
        <f>2/7</f>
        <v>0.2857142857142857</v>
      </c>
      <c r="P106" s="422">
        <f t="shared" si="2"/>
        <v>8.6956521739130432E-2</v>
      </c>
      <c r="Q106" s="416" t="s">
        <v>220</v>
      </c>
      <c r="R106" s="409" t="s">
        <v>221</v>
      </c>
      <c r="S106" s="409" t="s">
        <v>221</v>
      </c>
      <c r="T106" s="417" t="s">
        <v>67</v>
      </c>
      <c r="U106" s="409" t="str">
        <f t="shared" si="3"/>
        <v>2019</v>
      </c>
      <c r="AA106" s="410"/>
      <c r="AD106" s="418"/>
    </row>
    <row r="107" spans="1:30" s="409" customFormat="1" ht="14.1" customHeight="1">
      <c r="A107" s="410">
        <v>44937</v>
      </c>
      <c r="B107" s="409" t="s">
        <v>318</v>
      </c>
      <c r="C107" s="411" t="s">
        <v>698</v>
      </c>
      <c r="D107" s="413" t="s">
        <v>700</v>
      </c>
      <c r="E107" s="411">
        <v>4</v>
      </c>
      <c r="F107" s="411" t="s">
        <v>356</v>
      </c>
      <c r="G107" s="412" t="s">
        <v>699</v>
      </c>
      <c r="H107" s="410">
        <v>43968</v>
      </c>
      <c r="I107" s="409" t="s">
        <v>221</v>
      </c>
      <c r="J107" s="409" t="s">
        <v>221</v>
      </c>
      <c r="K107" s="409">
        <v>1</v>
      </c>
      <c r="L107" s="411" t="s">
        <v>220</v>
      </c>
      <c r="M107" s="411"/>
      <c r="N107" s="415">
        <v>3</v>
      </c>
      <c r="O107" s="416"/>
      <c r="P107" s="422">
        <f t="shared" si="2"/>
        <v>0</v>
      </c>
      <c r="Q107" s="416" t="s">
        <v>220</v>
      </c>
      <c r="R107" s="409" t="s">
        <v>221</v>
      </c>
      <c r="S107" s="409" t="s">
        <v>221</v>
      </c>
      <c r="T107" s="417" t="s">
        <v>67</v>
      </c>
      <c r="U107" s="409" t="str">
        <f t="shared" si="3"/>
        <v>2019</v>
      </c>
      <c r="AA107" s="410"/>
      <c r="AD107" s="418"/>
    </row>
    <row r="108" spans="1:30" s="409" customFormat="1" ht="14.1" customHeight="1">
      <c r="A108" s="410">
        <v>44931</v>
      </c>
      <c r="B108" s="409" t="s">
        <v>323</v>
      </c>
      <c r="C108" s="411" t="s">
        <v>701</v>
      </c>
      <c r="D108" s="413" t="s">
        <v>703</v>
      </c>
      <c r="E108" s="411">
        <v>5</v>
      </c>
      <c r="F108" s="411" t="s">
        <v>412</v>
      </c>
      <c r="G108" s="412" t="s">
        <v>702</v>
      </c>
      <c r="H108" s="410">
        <v>43754</v>
      </c>
      <c r="I108" s="409" t="s">
        <v>221</v>
      </c>
      <c r="J108" s="409" t="s">
        <v>221</v>
      </c>
      <c r="K108" s="409">
        <v>1</v>
      </c>
      <c r="L108" s="411" t="s">
        <v>221</v>
      </c>
      <c r="M108" s="411" t="s">
        <v>224</v>
      </c>
      <c r="N108" s="415">
        <v>3</v>
      </c>
      <c r="O108" s="416">
        <v>1</v>
      </c>
      <c r="P108" s="422">
        <f t="shared" si="2"/>
        <v>0.25</v>
      </c>
      <c r="Q108" s="416" t="s">
        <v>220</v>
      </c>
      <c r="R108" s="409" t="s">
        <v>221</v>
      </c>
      <c r="S108" s="409" t="s">
        <v>221</v>
      </c>
      <c r="T108" s="417" t="s">
        <v>67</v>
      </c>
      <c r="U108" s="409" t="str">
        <f t="shared" si="3"/>
        <v>2019</v>
      </c>
      <c r="AA108" s="410"/>
      <c r="AD108" s="418"/>
    </row>
    <row r="109" spans="1:30" s="409" customFormat="1" ht="14.1" customHeight="1">
      <c r="A109" s="410">
        <v>44937</v>
      </c>
      <c r="B109" s="409" t="s">
        <v>338</v>
      </c>
      <c r="C109" s="411" t="s">
        <v>704</v>
      </c>
      <c r="D109" s="413" t="s">
        <v>706</v>
      </c>
      <c r="E109" s="411">
        <v>6</v>
      </c>
      <c r="F109" s="411" t="s">
        <v>356</v>
      </c>
      <c r="G109" s="412" t="s">
        <v>705</v>
      </c>
      <c r="H109" s="410">
        <v>43748</v>
      </c>
      <c r="I109" s="409" t="s">
        <v>220</v>
      </c>
      <c r="J109" s="409" t="s">
        <v>220</v>
      </c>
      <c r="K109" s="409">
        <v>1</v>
      </c>
      <c r="L109" s="411" t="s">
        <v>221</v>
      </c>
      <c r="M109" s="411" t="s">
        <v>707</v>
      </c>
      <c r="N109" s="415">
        <v>0</v>
      </c>
      <c r="O109" s="416">
        <f>2.1</f>
        <v>2.1</v>
      </c>
      <c r="P109" s="422">
        <f t="shared" si="2"/>
        <v>1</v>
      </c>
      <c r="Q109" s="416" t="s">
        <v>220</v>
      </c>
      <c r="R109" s="409" t="s">
        <v>220</v>
      </c>
      <c r="S109" s="409" t="s">
        <v>220</v>
      </c>
      <c r="T109" s="417" t="s">
        <v>660</v>
      </c>
      <c r="U109" s="409" t="str">
        <f t="shared" si="3"/>
        <v>2019</v>
      </c>
      <c r="AA109" s="410"/>
      <c r="AD109" s="418"/>
    </row>
    <row r="110" spans="1:30" s="409" customFormat="1" ht="14.1" customHeight="1">
      <c r="A110" s="410">
        <v>44940</v>
      </c>
      <c r="B110" s="409" t="s">
        <v>318</v>
      </c>
      <c r="C110" s="411" t="s">
        <v>708</v>
      </c>
      <c r="D110" s="413" t="s">
        <v>710</v>
      </c>
      <c r="E110" s="411">
        <v>10</v>
      </c>
      <c r="F110" s="411" t="s">
        <v>430</v>
      </c>
      <c r="G110" s="412" t="s">
        <v>709</v>
      </c>
      <c r="H110" s="410">
        <v>43757</v>
      </c>
      <c r="I110" s="409" t="s">
        <v>221</v>
      </c>
      <c r="J110" s="409" t="s">
        <v>221</v>
      </c>
      <c r="K110" s="409">
        <v>1</v>
      </c>
      <c r="L110" s="411" t="s">
        <v>221</v>
      </c>
      <c r="M110" s="411" t="s">
        <v>222</v>
      </c>
      <c r="N110" s="415">
        <v>3</v>
      </c>
      <c r="O110" s="416">
        <v>1</v>
      </c>
      <c r="P110" s="422">
        <f t="shared" si="2"/>
        <v>0.25</v>
      </c>
      <c r="Q110" s="416" t="s">
        <v>220</v>
      </c>
      <c r="R110" s="409" t="s">
        <v>221</v>
      </c>
      <c r="S110" s="409" t="s">
        <v>221</v>
      </c>
      <c r="T110" s="417" t="s">
        <v>67</v>
      </c>
      <c r="U110" s="409" t="str">
        <f t="shared" si="3"/>
        <v>2019</v>
      </c>
      <c r="AA110" s="410"/>
      <c r="AD110" s="418"/>
    </row>
    <row r="111" spans="1:30" s="409" customFormat="1" ht="14.1" customHeight="1">
      <c r="A111" s="410">
        <v>44943</v>
      </c>
      <c r="B111" s="409" t="s">
        <v>323</v>
      </c>
      <c r="C111" s="411" t="s">
        <v>711</v>
      </c>
      <c r="D111" s="413" t="s">
        <v>713</v>
      </c>
      <c r="E111" s="411">
        <v>7</v>
      </c>
      <c r="F111" s="411" t="s">
        <v>343</v>
      </c>
      <c r="G111" s="412" t="s">
        <v>712</v>
      </c>
      <c r="H111" s="410">
        <v>43774</v>
      </c>
      <c r="I111" s="409" t="s">
        <v>221</v>
      </c>
      <c r="J111" s="409" t="s">
        <v>221</v>
      </c>
      <c r="K111" s="409">
        <v>1</v>
      </c>
      <c r="L111" s="411" t="s">
        <v>220</v>
      </c>
      <c r="M111" s="411"/>
      <c r="N111" s="415">
        <v>3</v>
      </c>
      <c r="O111" s="416"/>
      <c r="P111" s="422">
        <f t="shared" si="2"/>
        <v>0</v>
      </c>
      <c r="Q111" s="416" t="s">
        <v>220</v>
      </c>
      <c r="R111" s="409" t="s">
        <v>221</v>
      </c>
      <c r="S111" s="409" t="s">
        <v>221</v>
      </c>
      <c r="T111" s="417" t="s">
        <v>67</v>
      </c>
      <c r="U111" s="409" t="str">
        <f t="shared" si="3"/>
        <v>2019</v>
      </c>
      <c r="AA111" s="410"/>
      <c r="AD111" s="418"/>
    </row>
    <row r="112" spans="1:30" s="409" customFormat="1" ht="14.1" customHeight="1">
      <c r="A112" s="410">
        <v>44937</v>
      </c>
      <c r="B112" s="409" t="s">
        <v>338</v>
      </c>
      <c r="C112" s="411" t="s">
        <v>229</v>
      </c>
      <c r="D112" s="413" t="s">
        <v>715</v>
      </c>
      <c r="E112" s="411">
        <v>10</v>
      </c>
      <c r="F112" s="411" t="s">
        <v>356</v>
      </c>
      <c r="G112" s="412" t="s">
        <v>714</v>
      </c>
      <c r="H112" s="410">
        <v>43790</v>
      </c>
      <c r="I112" s="409" t="s">
        <v>221</v>
      </c>
      <c r="J112" s="409" t="s">
        <v>221</v>
      </c>
      <c r="K112" s="409">
        <v>1</v>
      </c>
      <c r="L112" s="411" t="s">
        <v>221</v>
      </c>
      <c r="M112" s="411" t="s">
        <v>224</v>
      </c>
      <c r="N112" s="415">
        <v>3</v>
      </c>
      <c r="O112" s="416">
        <v>1</v>
      </c>
      <c r="P112" s="422">
        <f t="shared" si="2"/>
        <v>0.25</v>
      </c>
      <c r="Q112" s="416" t="s">
        <v>220</v>
      </c>
      <c r="R112" s="409" t="s">
        <v>221</v>
      </c>
      <c r="S112" s="409" t="s">
        <v>221</v>
      </c>
      <c r="T112" s="417" t="s">
        <v>67</v>
      </c>
      <c r="U112" s="409" t="str">
        <f t="shared" si="3"/>
        <v>2019</v>
      </c>
      <c r="AA112" s="410"/>
      <c r="AD112" s="418"/>
    </row>
    <row r="113" spans="1:30" s="409" customFormat="1" ht="14.1" customHeight="1">
      <c r="A113" s="410">
        <v>44932</v>
      </c>
      <c r="B113" s="409" t="s">
        <v>323</v>
      </c>
      <c r="C113" s="411" t="s">
        <v>716</v>
      </c>
      <c r="D113" s="413" t="s">
        <v>719</v>
      </c>
      <c r="E113" s="411">
        <v>2</v>
      </c>
      <c r="F113" s="411" t="s">
        <v>717</v>
      </c>
      <c r="G113" s="412" t="s">
        <v>718</v>
      </c>
      <c r="H113" s="410">
        <v>43778</v>
      </c>
      <c r="I113" s="409" t="s">
        <v>220</v>
      </c>
      <c r="J113" s="409" t="s">
        <v>220</v>
      </c>
      <c r="K113" s="409">
        <v>1</v>
      </c>
      <c r="L113" s="411" t="s">
        <v>221</v>
      </c>
      <c r="M113" s="411" t="s">
        <v>224</v>
      </c>
      <c r="N113" s="415">
        <v>0</v>
      </c>
      <c r="O113" s="416">
        <f>2/7</f>
        <v>0.2857142857142857</v>
      </c>
      <c r="P113" s="422">
        <f t="shared" si="2"/>
        <v>1</v>
      </c>
      <c r="Q113" s="416" t="s">
        <v>220</v>
      </c>
      <c r="R113" s="409" t="s">
        <v>220</v>
      </c>
      <c r="S113" s="409" t="s">
        <v>220</v>
      </c>
      <c r="T113" s="417" t="s">
        <v>660</v>
      </c>
      <c r="U113" s="409" t="str">
        <f t="shared" si="3"/>
        <v>2019</v>
      </c>
      <c r="AA113" s="410"/>
      <c r="AD113" s="418"/>
    </row>
    <row r="114" spans="1:30" s="409" customFormat="1" ht="14.1" customHeight="1">
      <c r="A114" s="410">
        <v>44929</v>
      </c>
      <c r="B114" s="409" t="s">
        <v>318</v>
      </c>
      <c r="C114" s="411" t="s">
        <v>720</v>
      </c>
      <c r="D114" s="413" t="s">
        <v>722</v>
      </c>
      <c r="E114" s="411">
        <v>7</v>
      </c>
      <c r="F114" s="411" t="s">
        <v>398</v>
      </c>
      <c r="G114" s="412" t="s">
        <v>721</v>
      </c>
      <c r="H114" s="410">
        <v>43770</v>
      </c>
      <c r="I114" s="409" t="s">
        <v>221</v>
      </c>
      <c r="J114" s="409" t="s">
        <v>221</v>
      </c>
      <c r="K114" s="409">
        <v>1</v>
      </c>
      <c r="L114" s="411" t="s">
        <v>220</v>
      </c>
      <c r="M114" s="411"/>
      <c r="N114" s="415">
        <v>2</v>
      </c>
      <c r="O114" s="416"/>
      <c r="P114" s="422">
        <f t="shared" si="2"/>
        <v>0</v>
      </c>
      <c r="Q114" s="416" t="s">
        <v>220</v>
      </c>
      <c r="R114" s="409" t="s">
        <v>221</v>
      </c>
      <c r="S114" s="409" t="s">
        <v>221</v>
      </c>
      <c r="T114" s="417" t="s">
        <v>67</v>
      </c>
      <c r="U114" s="409" t="str">
        <f t="shared" si="3"/>
        <v>2019</v>
      </c>
      <c r="AA114" s="410"/>
      <c r="AD114" s="418"/>
    </row>
    <row r="115" spans="1:30" s="409" customFormat="1" ht="14.1" customHeight="1">
      <c r="A115" s="410">
        <v>44937</v>
      </c>
      <c r="B115" s="409" t="s">
        <v>338</v>
      </c>
      <c r="C115" s="411" t="s">
        <v>723</v>
      </c>
      <c r="D115" s="413" t="s">
        <v>725</v>
      </c>
      <c r="E115" s="411">
        <v>5</v>
      </c>
      <c r="F115" s="411" t="s">
        <v>356</v>
      </c>
      <c r="G115" s="412" t="s">
        <v>724</v>
      </c>
      <c r="H115" s="410">
        <v>43787</v>
      </c>
      <c r="I115" s="409" t="s">
        <v>221</v>
      </c>
      <c r="J115" s="409" t="s">
        <v>221</v>
      </c>
      <c r="K115" s="409">
        <v>1</v>
      </c>
      <c r="L115" s="411" t="s">
        <v>220</v>
      </c>
      <c r="M115" s="411"/>
      <c r="N115" s="415">
        <v>2</v>
      </c>
      <c r="O115" s="416"/>
      <c r="P115" s="422">
        <f t="shared" si="2"/>
        <v>0</v>
      </c>
      <c r="Q115" s="416" t="s">
        <v>220</v>
      </c>
      <c r="R115" s="409" t="s">
        <v>221</v>
      </c>
      <c r="S115" s="409" t="s">
        <v>221</v>
      </c>
      <c r="T115" s="417" t="s">
        <v>726</v>
      </c>
      <c r="U115" s="409" t="str">
        <f t="shared" si="3"/>
        <v>2019</v>
      </c>
      <c r="AA115" s="410"/>
      <c r="AD115" s="418"/>
    </row>
    <row r="116" spans="1:30" s="409" customFormat="1" ht="14.1" customHeight="1">
      <c r="A116" s="410">
        <v>44933</v>
      </c>
      <c r="B116" s="409" t="s">
        <v>338</v>
      </c>
      <c r="C116" s="411" t="s">
        <v>727</v>
      </c>
      <c r="D116" s="413" t="s">
        <v>729</v>
      </c>
      <c r="E116" s="411">
        <v>4</v>
      </c>
      <c r="F116" s="411" t="s">
        <v>385</v>
      </c>
      <c r="G116" s="412" t="s">
        <v>728</v>
      </c>
      <c r="H116" s="410">
        <v>43953</v>
      </c>
      <c r="I116" s="409" t="s">
        <v>221</v>
      </c>
      <c r="J116" s="409" t="s">
        <v>221</v>
      </c>
      <c r="K116" s="409">
        <v>1</v>
      </c>
      <c r="L116" s="411" t="s">
        <v>221</v>
      </c>
      <c r="M116" s="411" t="s">
        <v>730</v>
      </c>
      <c r="N116" s="415">
        <v>2</v>
      </c>
      <c r="O116" s="416">
        <v>1</v>
      </c>
      <c r="P116" s="422">
        <f t="shared" si="2"/>
        <v>0.33333333333333331</v>
      </c>
      <c r="Q116" s="416" t="s">
        <v>220</v>
      </c>
      <c r="R116" s="409" t="s">
        <v>221</v>
      </c>
      <c r="S116" s="409" t="s">
        <v>221</v>
      </c>
      <c r="T116" s="417" t="s">
        <v>67</v>
      </c>
      <c r="U116" s="409" t="str">
        <f t="shared" si="3"/>
        <v>2019</v>
      </c>
      <c r="AA116" s="410"/>
      <c r="AD116" s="418"/>
    </row>
    <row r="117" spans="1:30" s="409" customFormat="1" ht="14.1" customHeight="1">
      <c r="A117" s="410">
        <v>44930</v>
      </c>
      <c r="B117" s="409" t="s">
        <v>323</v>
      </c>
      <c r="C117" s="411" t="s">
        <v>731</v>
      </c>
      <c r="D117" s="413" t="s">
        <v>733</v>
      </c>
      <c r="E117" s="411">
        <v>5</v>
      </c>
      <c r="F117" s="411" t="s">
        <v>366</v>
      </c>
      <c r="G117" s="412" t="s">
        <v>732</v>
      </c>
      <c r="H117" s="410">
        <v>43960</v>
      </c>
      <c r="I117" s="409" t="s">
        <v>221</v>
      </c>
      <c r="J117" s="409" t="s">
        <v>221</v>
      </c>
      <c r="K117" s="409">
        <v>1</v>
      </c>
      <c r="L117" s="411" t="s">
        <v>220</v>
      </c>
      <c r="M117" s="411"/>
      <c r="N117" s="415">
        <v>3</v>
      </c>
      <c r="O117" s="416"/>
      <c r="P117" s="422">
        <f t="shared" si="2"/>
        <v>0</v>
      </c>
      <c r="Q117" s="416" t="s">
        <v>220</v>
      </c>
      <c r="R117" s="409" t="s">
        <v>221</v>
      </c>
      <c r="S117" s="409" t="s">
        <v>221</v>
      </c>
      <c r="T117" s="417" t="s">
        <v>67</v>
      </c>
      <c r="U117" s="409" t="str">
        <f t="shared" si="3"/>
        <v>2019</v>
      </c>
      <c r="AA117" s="410"/>
      <c r="AD117" s="418"/>
    </row>
    <row r="118" spans="1:30" s="409" customFormat="1" ht="14.1" customHeight="1">
      <c r="A118" s="410">
        <v>44940</v>
      </c>
      <c r="B118" s="409" t="s">
        <v>328</v>
      </c>
      <c r="C118" s="411" t="s">
        <v>734</v>
      </c>
      <c r="D118" s="413" t="s">
        <v>736</v>
      </c>
      <c r="E118" s="411">
        <v>4</v>
      </c>
      <c r="F118" s="411" t="s">
        <v>330</v>
      </c>
      <c r="G118" s="412" t="s">
        <v>735</v>
      </c>
      <c r="H118" s="410">
        <v>43957</v>
      </c>
      <c r="I118" s="409" t="s">
        <v>221</v>
      </c>
      <c r="J118" s="409" t="s">
        <v>221</v>
      </c>
      <c r="K118" s="409">
        <v>1</v>
      </c>
      <c r="L118" s="411" t="s">
        <v>220</v>
      </c>
      <c r="M118" s="411"/>
      <c r="N118" s="415">
        <v>2</v>
      </c>
      <c r="O118" s="416"/>
      <c r="P118" s="422">
        <f t="shared" si="2"/>
        <v>0</v>
      </c>
      <c r="Q118" s="416" t="s">
        <v>220</v>
      </c>
      <c r="R118" s="409" t="s">
        <v>221</v>
      </c>
      <c r="S118" s="409" t="s">
        <v>221</v>
      </c>
      <c r="T118" s="417" t="s">
        <v>67</v>
      </c>
      <c r="U118" s="409" t="str">
        <f t="shared" si="3"/>
        <v>2019</v>
      </c>
      <c r="AA118" s="410"/>
      <c r="AD118" s="418"/>
    </row>
    <row r="119" spans="1:30" s="409" customFormat="1" ht="14.1" customHeight="1">
      <c r="A119" s="410">
        <v>44930</v>
      </c>
      <c r="B119" s="409" t="s">
        <v>338</v>
      </c>
      <c r="C119" s="411" t="s">
        <v>737</v>
      </c>
      <c r="D119" s="413" t="s">
        <v>739</v>
      </c>
      <c r="E119" s="411">
        <v>8</v>
      </c>
      <c r="F119" s="411" t="s">
        <v>434</v>
      </c>
      <c r="G119" s="412" t="s">
        <v>738</v>
      </c>
      <c r="H119" s="410">
        <v>43963</v>
      </c>
      <c r="I119" s="409" t="s">
        <v>221</v>
      </c>
      <c r="J119" s="409" t="s">
        <v>221</v>
      </c>
      <c r="K119" s="409">
        <v>1</v>
      </c>
      <c r="L119" s="411" t="s">
        <v>220</v>
      </c>
      <c r="M119" s="411"/>
      <c r="N119" s="415">
        <v>3</v>
      </c>
      <c r="O119" s="416"/>
      <c r="P119" s="422">
        <f t="shared" si="2"/>
        <v>0</v>
      </c>
      <c r="Q119" s="416" t="s">
        <v>220</v>
      </c>
      <c r="R119" s="409" t="s">
        <v>221</v>
      </c>
      <c r="S119" s="409" t="s">
        <v>221</v>
      </c>
      <c r="T119" s="417" t="s">
        <v>67</v>
      </c>
      <c r="U119" s="409" t="str">
        <f t="shared" si="3"/>
        <v>2019</v>
      </c>
      <c r="AA119" s="410"/>
      <c r="AD119" s="418"/>
    </row>
    <row r="120" spans="1:30" s="409" customFormat="1" ht="14.1" customHeight="1">
      <c r="A120" s="410">
        <v>44930</v>
      </c>
      <c r="B120" s="409" t="s">
        <v>318</v>
      </c>
      <c r="C120" s="411" t="s">
        <v>740</v>
      </c>
      <c r="D120" s="413" t="s">
        <v>742</v>
      </c>
      <c r="E120" s="411">
        <v>4</v>
      </c>
      <c r="F120" s="411" t="s">
        <v>366</v>
      </c>
      <c r="G120" s="412" t="s">
        <v>741</v>
      </c>
      <c r="H120" s="410">
        <v>43981</v>
      </c>
      <c r="I120" s="409" t="s">
        <v>221</v>
      </c>
      <c r="J120" s="409" t="s">
        <v>221</v>
      </c>
      <c r="K120" s="409">
        <v>1</v>
      </c>
      <c r="L120" s="411" t="s">
        <v>220</v>
      </c>
      <c r="M120" s="411"/>
      <c r="N120" s="415">
        <v>3</v>
      </c>
      <c r="O120" s="416"/>
      <c r="P120" s="422">
        <f t="shared" si="2"/>
        <v>0</v>
      </c>
      <c r="Q120" s="416" t="s">
        <v>220</v>
      </c>
      <c r="R120" s="409" t="s">
        <v>221</v>
      </c>
      <c r="S120" s="409" t="s">
        <v>221</v>
      </c>
      <c r="T120" s="417" t="s">
        <v>67</v>
      </c>
      <c r="U120" s="409" t="str">
        <f t="shared" si="3"/>
        <v>2019</v>
      </c>
      <c r="AA120" s="410"/>
      <c r="AD120" s="418"/>
    </row>
    <row r="121" spans="1:30" s="409" customFormat="1" ht="14.1" customHeight="1">
      <c r="A121" s="410">
        <v>44932</v>
      </c>
      <c r="B121" s="409" t="s">
        <v>338</v>
      </c>
      <c r="C121" s="411" t="s">
        <v>743</v>
      </c>
      <c r="D121" s="413" t="s">
        <v>745</v>
      </c>
      <c r="E121" s="411">
        <v>6</v>
      </c>
      <c r="F121" s="411" t="s">
        <v>325</v>
      </c>
      <c r="G121" s="412" t="s">
        <v>744</v>
      </c>
      <c r="H121" s="410">
        <v>43850</v>
      </c>
      <c r="I121" s="409" t="s">
        <v>221</v>
      </c>
      <c r="J121" s="409" t="s">
        <v>221</v>
      </c>
      <c r="K121" s="409">
        <v>1</v>
      </c>
      <c r="L121" s="411" t="s">
        <v>221</v>
      </c>
      <c r="M121" s="411" t="s">
        <v>224</v>
      </c>
      <c r="N121" s="415">
        <v>2</v>
      </c>
      <c r="O121" s="416">
        <v>1</v>
      </c>
      <c r="P121" s="422">
        <f t="shared" si="2"/>
        <v>0.33333333333333331</v>
      </c>
      <c r="Q121" s="416" t="s">
        <v>220</v>
      </c>
      <c r="R121" s="409" t="s">
        <v>221</v>
      </c>
      <c r="S121" s="409" t="s">
        <v>221</v>
      </c>
      <c r="T121" s="417" t="s">
        <v>67</v>
      </c>
      <c r="U121" s="409" t="str">
        <f t="shared" si="3"/>
        <v>2019</v>
      </c>
      <c r="AA121" s="410"/>
      <c r="AD121" s="418"/>
    </row>
    <row r="122" spans="1:30" s="409" customFormat="1" ht="14.1" customHeight="1">
      <c r="A122" s="410">
        <v>44928</v>
      </c>
      <c r="B122" s="409" t="s">
        <v>328</v>
      </c>
      <c r="C122" s="411" t="s">
        <v>746</v>
      </c>
      <c r="D122" s="413" t="s">
        <v>749</v>
      </c>
      <c r="E122" s="411">
        <v>5</v>
      </c>
      <c r="F122" s="411" t="s">
        <v>747</v>
      </c>
      <c r="G122" s="412" t="s">
        <v>748</v>
      </c>
      <c r="H122" s="410">
        <v>43955</v>
      </c>
      <c r="I122" s="409" t="s">
        <v>221</v>
      </c>
      <c r="J122" s="409" t="s">
        <v>221</v>
      </c>
      <c r="K122" s="409">
        <v>1</v>
      </c>
      <c r="L122" s="411" t="s">
        <v>220</v>
      </c>
      <c r="M122" s="411"/>
      <c r="N122" s="415">
        <v>3</v>
      </c>
      <c r="O122" s="416"/>
      <c r="P122" s="422">
        <f t="shared" si="2"/>
        <v>0</v>
      </c>
      <c r="Q122" s="416" t="s">
        <v>220</v>
      </c>
      <c r="R122" s="409" t="s">
        <v>221</v>
      </c>
      <c r="S122" s="409" t="s">
        <v>221</v>
      </c>
      <c r="T122" s="417" t="s">
        <v>67</v>
      </c>
      <c r="U122" s="409" t="str">
        <f t="shared" si="3"/>
        <v>2019</v>
      </c>
      <c r="AA122" s="410"/>
      <c r="AD122" s="418"/>
    </row>
    <row r="123" spans="1:30" s="409" customFormat="1" ht="14.1" customHeight="1">
      <c r="A123" s="410">
        <v>44944</v>
      </c>
      <c r="B123" s="409" t="s">
        <v>323</v>
      </c>
      <c r="C123" s="411" t="s">
        <v>750</v>
      </c>
      <c r="D123" s="413" t="s">
        <v>753</v>
      </c>
      <c r="E123" s="411">
        <v>7</v>
      </c>
      <c r="F123" s="411" t="s">
        <v>751</v>
      </c>
      <c r="G123" s="412" t="s">
        <v>752</v>
      </c>
      <c r="H123" s="410">
        <v>43957</v>
      </c>
      <c r="I123" s="409" t="s">
        <v>221</v>
      </c>
      <c r="J123" s="409" t="s">
        <v>221</v>
      </c>
      <c r="K123" s="409">
        <v>1</v>
      </c>
      <c r="L123" s="411" t="s">
        <v>221</v>
      </c>
      <c r="M123" s="411" t="s">
        <v>754</v>
      </c>
      <c r="N123" s="415">
        <v>3</v>
      </c>
      <c r="O123" s="416">
        <f>0.1+0.1</f>
        <v>0.2</v>
      </c>
      <c r="P123" s="422">
        <f t="shared" si="2"/>
        <v>6.25E-2</v>
      </c>
      <c r="Q123" s="416" t="s">
        <v>220</v>
      </c>
      <c r="R123" s="409" t="s">
        <v>221</v>
      </c>
      <c r="S123" s="409" t="s">
        <v>221</v>
      </c>
      <c r="T123" s="417" t="s">
        <v>67</v>
      </c>
      <c r="U123" s="409" t="str">
        <f t="shared" si="3"/>
        <v>2019</v>
      </c>
      <c r="AA123" s="410"/>
      <c r="AD123" s="418"/>
    </row>
    <row r="124" spans="1:30" s="409" customFormat="1" ht="14.1" customHeight="1">
      <c r="A124" s="410">
        <v>44930</v>
      </c>
      <c r="B124" s="409" t="s">
        <v>318</v>
      </c>
      <c r="C124" s="411" t="s">
        <v>755</v>
      </c>
      <c r="D124" s="413" t="s">
        <v>757</v>
      </c>
      <c r="E124" s="411">
        <v>3</v>
      </c>
      <c r="F124" s="411" t="s">
        <v>366</v>
      </c>
      <c r="G124" s="412" t="s">
        <v>756</v>
      </c>
      <c r="H124" s="410">
        <v>43960</v>
      </c>
      <c r="I124" s="409" t="s">
        <v>221</v>
      </c>
      <c r="J124" s="409" t="s">
        <v>221</v>
      </c>
      <c r="K124" s="409">
        <v>1</v>
      </c>
      <c r="L124" s="411" t="s">
        <v>220</v>
      </c>
      <c r="M124" s="411"/>
      <c r="N124" s="415">
        <v>2</v>
      </c>
      <c r="O124" s="416"/>
      <c r="P124" s="422">
        <f t="shared" si="2"/>
        <v>0</v>
      </c>
      <c r="Q124" s="416" t="s">
        <v>220</v>
      </c>
      <c r="R124" s="409" t="s">
        <v>221</v>
      </c>
      <c r="S124" s="409" t="s">
        <v>221</v>
      </c>
      <c r="T124" s="417" t="s">
        <v>67</v>
      </c>
      <c r="U124" s="409" t="str">
        <f t="shared" si="3"/>
        <v>2019</v>
      </c>
      <c r="AA124" s="410"/>
      <c r="AD124" s="418"/>
    </row>
    <row r="125" spans="1:30" s="409" customFormat="1" ht="14.1" customHeight="1">
      <c r="A125" s="410">
        <v>44939</v>
      </c>
      <c r="B125" s="409" t="s">
        <v>318</v>
      </c>
      <c r="C125" s="411" t="s">
        <v>758</v>
      </c>
      <c r="D125" s="413" t="s">
        <v>760</v>
      </c>
      <c r="E125" s="411">
        <v>4</v>
      </c>
      <c r="F125" s="411" t="s">
        <v>398</v>
      </c>
      <c r="G125" s="412" t="s">
        <v>759</v>
      </c>
      <c r="H125" s="410">
        <v>43971</v>
      </c>
      <c r="I125" s="409" t="s">
        <v>221</v>
      </c>
      <c r="J125" s="409" t="s">
        <v>221</v>
      </c>
      <c r="K125" s="409">
        <v>1</v>
      </c>
      <c r="L125" s="411" t="s">
        <v>221</v>
      </c>
      <c r="M125" s="411" t="s">
        <v>224</v>
      </c>
      <c r="N125" s="415">
        <v>3</v>
      </c>
      <c r="O125" s="416">
        <v>2</v>
      </c>
      <c r="P125" s="422">
        <f t="shared" si="2"/>
        <v>0.4</v>
      </c>
      <c r="Q125" s="416" t="s">
        <v>220</v>
      </c>
      <c r="R125" s="409" t="s">
        <v>221</v>
      </c>
      <c r="S125" s="409" t="s">
        <v>221</v>
      </c>
      <c r="T125" s="417" t="s">
        <v>67</v>
      </c>
      <c r="U125" s="409" t="str">
        <f t="shared" si="3"/>
        <v>2019</v>
      </c>
      <c r="AA125" s="410"/>
      <c r="AD125" s="418"/>
    </row>
    <row r="126" spans="1:30" s="409" customFormat="1" ht="14.1" customHeight="1">
      <c r="A126" s="410">
        <v>44929</v>
      </c>
      <c r="B126" s="409" t="s">
        <v>328</v>
      </c>
      <c r="C126" s="411" t="s">
        <v>761</v>
      </c>
      <c r="D126" s="413" t="s">
        <v>763</v>
      </c>
      <c r="E126" s="411">
        <v>5</v>
      </c>
      <c r="F126" s="411" t="s">
        <v>574</v>
      </c>
      <c r="G126" s="412" t="s">
        <v>762</v>
      </c>
      <c r="H126" s="410">
        <v>43953</v>
      </c>
      <c r="I126" s="409" t="s">
        <v>221</v>
      </c>
      <c r="J126" s="409" t="s">
        <v>221</v>
      </c>
      <c r="K126" s="409">
        <v>1</v>
      </c>
      <c r="L126" s="411" t="s">
        <v>220</v>
      </c>
      <c r="M126" s="411"/>
      <c r="N126" s="415">
        <v>3</v>
      </c>
      <c r="O126" s="416"/>
      <c r="P126" s="422">
        <f t="shared" si="2"/>
        <v>0</v>
      </c>
      <c r="Q126" s="416" t="s">
        <v>220</v>
      </c>
      <c r="R126" s="409" t="s">
        <v>221</v>
      </c>
      <c r="S126" s="409" t="s">
        <v>221</v>
      </c>
      <c r="T126" s="417" t="s">
        <v>67</v>
      </c>
      <c r="U126" s="409" t="str">
        <f t="shared" si="3"/>
        <v>2019</v>
      </c>
      <c r="AA126" s="410"/>
      <c r="AD126" s="418"/>
    </row>
    <row r="127" spans="1:30" s="409" customFormat="1" ht="14.1" customHeight="1">
      <c r="A127" s="410">
        <v>44932</v>
      </c>
      <c r="B127" s="409" t="s">
        <v>338</v>
      </c>
      <c r="C127" s="411" t="s">
        <v>764</v>
      </c>
      <c r="D127" s="413" t="s">
        <v>766</v>
      </c>
      <c r="E127" s="411">
        <v>4</v>
      </c>
      <c r="F127" s="411" t="s">
        <v>325</v>
      </c>
      <c r="G127" s="412" t="s">
        <v>765</v>
      </c>
      <c r="H127" s="410">
        <v>43973</v>
      </c>
      <c r="I127" s="409" t="s">
        <v>221</v>
      </c>
      <c r="J127" s="409" t="s">
        <v>221</v>
      </c>
      <c r="K127" s="409">
        <v>1</v>
      </c>
      <c r="L127" s="411" t="s">
        <v>220</v>
      </c>
      <c r="M127" s="411"/>
      <c r="N127" s="415">
        <v>3</v>
      </c>
      <c r="O127" s="416"/>
      <c r="P127" s="422">
        <f t="shared" si="2"/>
        <v>0</v>
      </c>
      <c r="Q127" s="416" t="s">
        <v>220</v>
      </c>
      <c r="R127" s="409" t="s">
        <v>221</v>
      </c>
      <c r="S127" s="409" t="s">
        <v>221</v>
      </c>
      <c r="T127" s="417" t="s">
        <v>767</v>
      </c>
      <c r="U127" s="409" t="str">
        <f t="shared" si="3"/>
        <v>2019</v>
      </c>
      <c r="AA127" s="410"/>
      <c r="AD127" s="418"/>
    </row>
    <row r="128" spans="1:30" s="409" customFormat="1" ht="14.1" customHeight="1">
      <c r="A128" s="410">
        <v>44937</v>
      </c>
      <c r="B128" s="409" t="s">
        <v>338</v>
      </c>
      <c r="C128" s="411" t="s">
        <v>768</v>
      </c>
      <c r="D128" s="413" t="s">
        <v>771</v>
      </c>
      <c r="E128" s="411">
        <v>7</v>
      </c>
      <c r="F128" s="411" t="s">
        <v>769</v>
      </c>
      <c r="G128" s="412" t="s">
        <v>770</v>
      </c>
      <c r="H128" s="410">
        <v>43968</v>
      </c>
      <c r="I128" s="409" t="s">
        <v>221</v>
      </c>
      <c r="J128" s="409" t="s">
        <v>221</v>
      </c>
      <c r="K128" s="409">
        <v>1</v>
      </c>
      <c r="L128" s="411" t="s">
        <v>221</v>
      </c>
      <c r="M128" s="411" t="s">
        <v>428</v>
      </c>
      <c r="N128" s="415">
        <v>3</v>
      </c>
      <c r="O128" s="416">
        <f>0.1+0.1</f>
        <v>0.2</v>
      </c>
      <c r="P128" s="422">
        <f t="shared" si="2"/>
        <v>6.25E-2</v>
      </c>
      <c r="Q128" s="416" t="s">
        <v>220</v>
      </c>
      <c r="R128" s="409" t="s">
        <v>221</v>
      </c>
      <c r="S128" s="409" t="s">
        <v>221</v>
      </c>
      <c r="T128" s="417" t="s">
        <v>67</v>
      </c>
      <c r="U128" s="409" t="str">
        <f t="shared" si="3"/>
        <v>2019</v>
      </c>
      <c r="AA128" s="410"/>
      <c r="AD128" s="418"/>
    </row>
    <row r="129" spans="1:30" s="409" customFormat="1" ht="14.1" customHeight="1">
      <c r="A129" s="410">
        <v>44928</v>
      </c>
      <c r="B129" s="409" t="s">
        <v>323</v>
      </c>
      <c r="C129" s="411" t="s">
        <v>772</v>
      </c>
      <c r="D129" s="413" t="s">
        <v>774</v>
      </c>
      <c r="E129" s="411">
        <v>12</v>
      </c>
      <c r="F129" s="411" t="s">
        <v>381</v>
      </c>
      <c r="G129" s="412" t="s">
        <v>773</v>
      </c>
      <c r="H129" s="410">
        <v>43869</v>
      </c>
      <c r="I129" s="409" t="s">
        <v>220</v>
      </c>
      <c r="J129" s="409" t="s">
        <v>220</v>
      </c>
      <c r="K129" s="409">
        <v>1</v>
      </c>
      <c r="L129" s="411" t="s">
        <v>221</v>
      </c>
      <c r="M129" s="411" t="s">
        <v>497</v>
      </c>
      <c r="N129" s="415">
        <v>0</v>
      </c>
      <c r="O129" s="416">
        <v>1</v>
      </c>
      <c r="P129" s="422">
        <f t="shared" si="2"/>
        <v>1</v>
      </c>
      <c r="Q129" s="416" t="s">
        <v>220</v>
      </c>
      <c r="R129" s="409" t="s">
        <v>220</v>
      </c>
      <c r="S129" s="409" t="s">
        <v>220</v>
      </c>
      <c r="T129" s="417" t="s">
        <v>660</v>
      </c>
      <c r="U129" s="409" t="str">
        <f t="shared" si="3"/>
        <v>2019</v>
      </c>
      <c r="AA129" s="410"/>
      <c r="AD129" s="418"/>
    </row>
    <row r="130" spans="1:30" s="409" customFormat="1" ht="14.1" customHeight="1">
      <c r="A130" s="410">
        <v>44937</v>
      </c>
      <c r="B130" s="409" t="s">
        <v>318</v>
      </c>
      <c r="C130" s="411" t="s">
        <v>775</v>
      </c>
      <c r="D130" s="413" t="s">
        <v>777</v>
      </c>
      <c r="E130" s="411">
        <v>5</v>
      </c>
      <c r="F130" s="411" t="s">
        <v>769</v>
      </c>
      <c r="G130" s="412" t="s">
        <v>776</v>
      </c>
      <c r="H130" s="410">
        <v>43968</v>
      </c>
      <c r="I130" s="409" t="s">
        <v>221</v>
      </c>
      <c r="J130" s="409" t="s">
        <v>221</v>
      </c>
      <c r="K130" s="409">
        <v>1</v>
      </c>
      <c r="L130" s="411" t="s">
        <v>221</v>
      </c>
      <c r="M130" s="411" t="s">
        <v>778</v>
      </c>
      <c r="N130" s="415">
        <v>2</v>
      </c>
      <c r="O130" s="416">
        <f>0.1+0.1</f>
        <v>0.2</v>
      </c>
      <c r="P130" s="422">
        <f t="shared" ref="P130:P193" si="4">O130/(O130+N130)</f>
        <v>9.0909090909090912E-2</v>
      </c>
      <c r="Q130" s="416" t="s">
        <v>220</v>
      </c>
      <c r="R130" s="409" t="s">
        <v>221</v>
      </c>
      <c r="S130" s="409" t="s">
        <v>221</v>
      </c>
      <c r="T130" s="417" t="s">
        <v>67</v>
      </c>
      <c r="U130" s="409" t="str">
        <f t="shared" ref="U130:U193" si="5">IF(AND(H130&gt;=$W$1,H130&lt;$X$1),"2018",IF(AND(H130&gt;=$X$1,H130&lt;$Y$1),"2019",IF(H130&gt;=$Y$1,"2020")))</f>
        <v>2019</v>
      </c>
      <c r="AA130" s="410"/>
      <c r="AD130" s="418"/>
    </row>
    <row r="131" spans="1:30" s="409" customFormat="1" ht="14.1" customHeight="1">
      <c r="A131" s="410">
        <v>44943</v>
      </c>
      <c r="B131" s="409" t="s">
        <v>318</v>
      </c>
      <c r="C131" s="411" t="s">
        <v>779</v>
      </c>
      <c r="D131" s="413" t="s">
        <v>781</v>
      </c>
      <c r="E131" s="411">
        <v>10</v>
      </c>
      <c r="F131" s="411" t="s">
        <v>340</v>
      </c>
      <c r="G131" s="412" t="s">
        <v>780</v>
      </c>
      <c r="H131" s="410">
        <v>43847</v>
      </c>
      <c r="I131" s="409" t="s">
        <v>221</v>
      </c>
      <c r="J131" s="409" t="s">
        <v>221</v>
      </c>
      <c r="K131" s="409">
        <v>3</v>
      </c>
      <c r="L131" s="411" t="s">
        <v>220</v>
      </c>
      <c r="M131" s="411"/>
      <c r="N131" s="415">
        <v>3</v>
      </c>
      <c r="O131" s="416"/>
      <c r="P131" s="422">
        <f t="shared" si="4"/>
        <v>0</v>
      </c>
      <c r="Q131" s="416" t="s">
        <v>220</v>
      </c>
      <c r="R131" s="409" t="s">
        <v>221</v>
      </c>
      <c r="S131" s="409" t="s">
        <v>221</v>
      </c>
      <c r="T131" s="417" t="s">
        <v>67</v>
      </c>
      <c r="U131" s="409" t="str">
        <f t="shared" si="5"/>
        <v>2019</v>
      </c>
      <c r="AA131" s="410"/>
      <c r="AD131" s="418"/>
    </row>
    <row r="132" spans="1:30" s="409" customFormat="1" ht="14.1" customHeight="1">
      <c r="A132" s="410">
        <v>44928</v>
      </c>
      <c r="B132" s="409" t="s">
        <v>328</v>
      </c>
      <c r="C132" s="411" t="s">
        <v>782</v>
      </c>
      <c r="D132" s="413" t="s">
        <v>784</v>
      </c>
      <c r="E132" s="411">
        <v>6</v>
      </c>
      <c r="F132" s="411" t="s">
        <v>747</v>
      </c>
      <c r="G132" s="412" t="s">
        <v>783</v>
      </c>
      <c r="H132" s="410">
        <v>43861</v>
      </c>
      <c r="I132" s="409" t="s">
        <v>221</v>
      </c>
      <c r="J132" s="409" t="s">
        <v>221</v>
      </c>
      <c r="K132" s="409">
        <v>1</v>
      </c>
      <c r="L132" s="411" t="s">
        <v>221</v>
      </c>
      <c r="M132" s="411" t="s">
        <v>224</v>
      </c>
      <c r="N132" s="415">
        <v>3</v>
      </c>
      <c r="O132" s="416">
        <v>1</v>
      </c>
      <c r="P132" s="422">
        <f t="shared" si="4"/>
        <v>0.25</v>
      </c>
      <c r="Q132" s="416" t="s">
        <v>220</v>
      </c>
      <c r="R132" s="409" t="s">
        <v>221</v>
      </c>
      <c r="S132" s="409" t="s">
        <v>221</v>
      </c>
      <c r="T132" s="417" t="s">
        <v>67</v>
      </c>
      <c r="U132" s="409" t="str">
        <f t="shared" si="5"/>
        <v>2019</v>
      </c>
      <c r="AA132" s="410"/>
      <c r="AD132" s="418"/>
    </row>
    <row r="133" spans="1:30" s="409" customFormat="1" ht="14.1" customHeight="1">
      <c r="A133" s="410">
        <v>44928</v>
      </c>
      <c r="B133" s="409" t="s">
        <v>323</v>
      </c>
      <c r="C133" s="411" t="s">
        <v>785</v>
      </c>
      <c r="D133" s="413" t="s">
        <v>787</v>
      </c>
      <c r="E133" s="411">
        <v>5</v>
      </c>
      <c r="F133" s="411" t="s">
        <v>381</v>
      </c>
      <c r="G133" s="412" t="s">
        <v>786</v>
      </c>
      <c r="H133" s="410">
        <v>43861</v>
      </c>
      <c r="I133" s="409" t="s">
        <v>221</v>
      </c>
      <c r="J133" s="409" t="s">
        <v>221</v>
      </c>
      <c r="K133" s="409">
        <v>1</v>
      </c>
      <c r="L133" s="411" t="s">
        <v>221</v>
      </c>
      <c r="M133" s="411" t="s">
        <v>222</v>
      </c>
      <c r="N133" s="415">
        <v>3</v>
      </c>
      <c r="O133" s="416">
        <f>1/7</f>
        <v>0.14285714285714285</v>
      </c>
      <c r="P133" s="422">
        <f t="shared" si="4"/>
        <v>4.5454545454545456E-2</v>
      </c>
      <c r="Q133" s="416" t="s">
        <v>220</v>
      </c>
      <c r="R133" s="409" t="s">
        <v>221</v>
      </c>
      <c r="S133" s="409" t="s">
        <v>221</v>
      </c>
      <c r="T133" s="417" t="s">
        <v>67</v>
      </c>
      <c r="U133" s="409" t="str">
        <f t="shared" si="5"/>
        <v>2019</v>
      </c>
      <c r="AA133" s="410"/>
      <c r="AD133" s="418"/>
    </row>
    <row r="134" spans="1:30" s="409" customFormat="1" ht="14.1" customHeight="1">
      <c r="A134" s="410">
        <v>44932</v>
      </c>
      <c r="B134" s="409" t="s">
        <v>338</v>
      </c>
      <c r="C134" s="411" t="s">
        <v>788</v>
      </c>
      <c r="D134" s="413" t="s">
        <v>790</v>
      </c>
      <c r="E134" s="411">
        <v>6</v>
      </c>
      <c r="F134" s="411" t="s">
        <v>325</v>
      </c>
      <c r="G134" s="412" t="s">
        <v>789</v>
      </c>
      <c r="H134" s="410">
        <v>43843</v>
      </c>
      <c r="I134" s="409" t="s">
        <v>221</v>
      </c>
      <c r="J134" s="409" t="s">
        <v>221</v>
      </c>
      <c r="K134" s="409">
        <v>1</v>
      </c>
      <c r="L134" s="411" t="s">
        <v>221</v>
      </c>
      <c r="M134" s="411" t="s">
        <v>222</v>
      </c>
      <c r="N134" s="415">
        <v>3</v>
      </c>
      <c r="O134" s="416">
        <f>2/7</f>
        <v>0.2857142857142857</v>
      </c>
      <c r="P134" s="422">
        <f t="shared" si="4"/>
        <v>8.6956521739130432E-2</v>
      </c>
      <c r="Q134" s="416" t="s">
        <v>220</v>
      </c>
      <c r="R134" s="409" t="s">
        <v>221</v>
      </c>
      <c r="S134" s="409" t="s">
        <v>221</v>
      </c>
      <c r="T134" s="417" t="s">
        <v>67</v>
      </c>
      <c r="U134" s="409" t="str">
        <f t="shared" si="5"/>
        <v>2019</v>
      </c>
      <c r="AA134" s="410"/>
      <c r="AD134" s="418"/>
    </row>
    <row r="135" spans="1:30" s="409" customFormat="1" ht="14.1" customHeight="1">
      <c r="A135" s="410">
        <v>44928</v>
      </c>
      <c r="B135" s="409" t="s">
        <v>328</v>
      </c>
      <c r="C135" s="411" t="s">
        <v>791</v>
      </c>
      <c r="D135" s="413" t="s">
        <v>792</v>
      </c>
      <c r="E135" s="411">
        <v>13</v>
      </c>
      <c r="F135" s="411" t="s">
        <v>394</v>
      </c>
      <c r="G135" s="412" t="s">
        <v>584</v>
      </c>
      <c r="H135" s="410">
        <v>43874</v>
      </c>
      <c r="I135" s="409" t="s">
        <v>221</v>
      </c>
      <c r="J135" s="409" t="s">
        <v>221</v>
      </c>
      <c r="K135" s="409">
        <v>1</v>
      </c>
      <c r="L135" s="411" t="s">
        <v>220</v>
      </c>
      <c r="M135" s="411"/>
      <c r="N135" s="415">
        <v>3</v>
      </c>
      <c r="O135" s="416"/>
      <c r="P135" s="422">
        <f t="shared" si="4"/>
        <v>0</v>
      </c>
      <c r="Q135" s="416" t="s">
        <v>220</v>
      </c>
      <c r="R135" s="409" t="s">
        <v>221</v>
      </c>
      <c r="S135" s="409" t="s">
        <v>221</v>
      </c>
      <c r="T135" s="417" t="s">
        <v>67</v>
      </c>
      <c r="U135" s="409" t="str">
        <f t="shared" si="5"/>
        <v>2019</v>
      </c>
      <c r="AA135" s="410"/>
      <c r="AD135" s="418"/>
    </row>
    <row r="136" spans="1:30" s="409" customFormat="1" ht="14.1" customHeight="1">
      <c r="A136" s="410">
        <v>44928</v>
      </c>
      <c r="B136" s="409" t="s">
        <v>323</v>
      </c>
      <c r="C136" s="411" t="s">
        <v>346</v>
      </c>
      <c r="D136" s="413" t="s">
        <v>794</v>
      </c>
      <c r="E136" s="411">
        <v>10</v>
      </c>
      <c r="F136" s="411" t="s">
        <v>381</v>
      </c>
      <c r="G136" s="412" t="s">
        <v>793</v>
      </c>
      <c r="H136" s="410">
        <v>43888</v>
      </c>
      <c r="I136" s="409" t="s">
        <v>220</v>
      </c>
      <c r="J136" s="409" t="s">
        <v>220</v>
      </c>
      <c r="K136" s="409">
        <v>1</v>
      </c>
      <c r="L136" s="411" t="s">
        <v>221</v>
      </c>
      <c r="M136" s="411" t="s">
        <v>497</v>
      </c>
      <c r="N136" s="415">
        <v>0</v>
      </c>
      <c r="O136" s="416">
        <v>1</v>
      </c>
      <c r="P136" s="422">
        <f t="shared" si="4"/>
        <v>1</v>
      </c>
      <c r="Q136" s="416" t="s">
        <v>220</v>
      </c>
      <c r="R136" s="409" t="s">
        <v>220</v>
      </c>
      <c r="S136" s="409" t="s">
        <v>220</v>
      </c>
      <c r="T136" s="417" t="s">
        <v>660</v>
      </c>
      <c r="U136" s="409" t="str">
        <f t="shared" si="5"/>
        <v>2019</v>
      </c>
      <c r="AA136" s="410"/>
      <c r="AD136" s="418"/>
    </row>
    <row r="137" spans="1:30" s="409" customFormat="1" ht="14.1" customHeight="1">
      <c r="A137" s="410">
        <v>44931</v>
      </c>
      <c r="B137" s="409" t="s">
        <v>328</v>
      </c>
      <c r="C137" s="411" t="s">
        <v>795</v>
      </c>
      <c r="D137" s="413" t="s">
        <v>797</v>
      </c>
      <c r="E137" s="411">
        <v>6</v>
      </c>
      <c r="F137" s="411" t="s">
        <v>412</v>
      </c>
      <c r="G137" s="412" t="s">
        <v>796</v>
      </c>
      <c r="H137" s="410">
        <v>43878</v>
      </c>
      <c r="I137" s="409" t="s">
        <v>221</v>
      </c>
      <c r="J137" s="409" t="s">
        <v>221</v>
      </c>
      <c r="K137" s="409">
        <v>1</v>
      </c>
      <c r="L137" s="411" t="s">
        <v>220</v>
      </c>
      <c r="M137" s="411"/>
      <c r="N137" s="415">
        <v>3</v>
      </c>
      <c r="O137" s="416"/>
      <c r="P137" s="422">
        <f t="shared" si="4"/>
        <v>0</v>
      </c>
      <c r="Q137" s="416" t="s">
        <v>220</v>
      </c>
      <c r="R137" s="409" t="s">
        <v>221</v>
      </c>
      <c r="S137" s="409" t="s">
        <v>221</v>
      </c>
      <c r="T137" s="417" t="s">
        <v>67</v>
      </c>
      <c r="U137" s="409" t="str">
        <f t="shared" si="5"/>
        <v>2019</v>
      </c>
      <c r="AA137" s="410"/>
      <c r="AD137" s="418"/>
    </row>
    <row r="138" spans="1:30" s="409" customFormat="1" ht="14.1" customHeight="1">
      <c r="A138" s="410">
        <v>44933</v>
      </c>
      <c r="B138" s="409" t="s">
        <v>328</v>
      </c>
      <c r="C138" s="411" t="s">
        <v>798</v>
      </c>
      <c r="D138" s="413" t="s">
        <v>800</v>
      </c>
      <c r="E138" s="411">
        <v>4</v>
      </c>
      <c r="F138" s="411" t="s">
        <v>385</v>
      </c>
      <c r="G138" s="412" t="s">
        <v>799</v>
      </c>
      <c r="H138" s="410">
        <v>43882</v>
      </c>
      <c r="I138" s="409" t="s">
        <v>221</v>
      </c>
      <c r="J138" s="409" t="s">
        <v>221</v>
      </c>
      <c r="K138" s="409">
        <v>2</v>
      </c>
      <c r="L138" s="411" t="s">
        <v>221</v>
      </c>
      <c r="M138" s="411" t="s">
        <v>224</v>
      </c>
      <c r="N138" s="415">
        <v>2</v>
      </c>
      <c r="O138" s="416">
        <f>1/7</f>
        <v>0.14285714285714285</v>
      </c>
      <c r="P138" s="422">
        <f t="shared" si="4"/>
        <v>6.6666666666666666E-2</v>
      </c>
      <c r="Q138" s="416" t="s">
        <v>220</v>
      </c>
      <c r="R138" s="409" t="s">
        <v>221</v>
      </c>
      <c r="S138" s="409" t="s">
        <v>221</v>
      </c>
      <c r="T138" s="417" t="s">
        <v>67</v>
      </c>
      <c r="U138" s="409" t="str">
        <f t="shared" si="5"/>
        <v>2019</v>
      </c>
      <c r="AA138" s="410"/>
      <c r="AD138" s="418"/>
    </row>
    <row r="139" spans="1:30" s="409" customFormat="1" ht="14.1" customHeight="1">
      <c r="A139" s="410">
        <v>44932</v>
      </c>
      <c r="B139" s="409" t="s">
        <v>323</v>
      </c>
      <c r="C139" s="411" t="s">
        <v>801</v>
      </c>
      <c r="D139" s="413" t="s">
        <v>803</v>
      </c>
      <c r="E139" s="411">
        <v>5</v>
      </c>
      <c r="F139" s="411" t="s">
        <v>452</v>
      </c>
      <c r="G139" s="412" t="s">
        <v>802</v>
      </c>
      <c r="H139" s="410">
        <v>43865</v>
      </c>
      <c r="I139" s="409" t="s">
        <v>221</v>
      </c>
      <c r="J139" s="409" t="s">
        <v>221</v>
      </c>
      <c r="K139" s="409">
        <v>1</v>
      </c>
      <c r="L139" s="411" t="s">
        <v>220</v>
      </c>
      <c r="M139" s="411"/>
      <c r="N139" s="415">
        <v>2</v>
      </c>
      <c r="O139" s="416"/>
      <c r="P139" s="422">
        <f t="shared" si="4"/>
        <v>0</v>
      </c>
      <c r="Q139" s="416" t="s">
        <v>220</v>
      </c>
      <c r="R139" s="409" t="s">
        <v>221</v>
      </c>
      <c r="S139" s="409" t="s">
        <v>221</v>
      </c>
      <c r="T139" s="417" t="s">
        <v>67</v>
      </c>
      <c r="U139" s="409" t="str">
        <f t="shared" si="5"/>
        <v>2019</v>
      </c>
      <c r="AA139" s="410"/>
      <c r="AD139" s="418"/>
    </row>
    <row r="140" spans="1:30" s="409" customFormat="1" ht="14.1" customHeight="1">
      <c r="A140" s="410">
        <v>44943</v>
      </c>
      <c r="B140" s="409" t="s">
        <v>318</v>
      </c>
      <c r="C140" s="411" t="s">
        <v>804</v>
      </c>
      <c r="D140" s="413" t="s">
        <v>806</v>
      </c>
      <c r="E140" s="411">
        <v>4</v>
      </c>
      <c r="F140" s="411" t="s">
        <v>343</v>
      </c>
      <c r="G140" s="412" t="s">
        <v>805</v>
      </c>
      <c r="H140" s="410">
        <v>43788</v>
      </c>
      <c r="I140" s="409" t="s">
        <v>221</v>
      </c>
      <c r="J140" s="409" t="s">
        <v>221</v>
      </c>
      <c r="K140" s="409">
        <v>1</v>
      </c>
      <c r="L140" s="411" t="s">
        <v>221</v>
      </c>
      <c r="M140" s="411" t="s">
        <v>807</v>
      </c>
      <c r="N140" s="415">
        <v>3</v>
      </c>
      <c r="O140" s="416">
        <f>0.1+0.1</f>
        <v>0.2</v>
      </c>
      <c r="P140" s="422">
        <f t="shared" si="4"/>
        <v>6.25E-2</v>
      </c>
      <c r="Q140" s="416" t="s">
        <v>220</v>
      </c>
      <c r="R140" s="409" t="s">
        <v>221</v>
      </c>
      <c r="S140" s="409" t="s">
        <v>221</v>
      </c>
      <c r="T140" s="417" t="s">
        <v>67</v>
      </c>
      <c r="U140" s="409" t="str">
        <f t="shared" si="5"/>
        <v>2019</v>
      </c>
      <c r="AA140" s="410"/>
      <c r="AD140" s="418"/>
    </row>
    <row r="141" spans="1:30" s="409" customFormat="1" ht="14.1" customHeight="1">
      <c r="A141" s="410">
        <v>44936</v>
      </c>
      <c r="B141" s="409" t="s">
        <v>323</v>
      </c>
      <c r="C141" s="411" t="s">
        <v>808</v>
      </c>
      <c r="D141" s="413" t="s">
        <v>810</v>
      </c>
      <c r="E141" s="411">
        <v>5</v>
      </c>
      <c r="F141" s="411" t="s">
        <v>343</v>
      </c>
      <c r="G141" s="412" t="s">
        <v>809</v>
      </c>
      <c r="H141" s="410">
        <v>44171</v>
      </c>
      <c r="I141" s="409" t="s">
        <v>221</v>
      </c>
      <c r="J141" s="409" t="s">
        <v>221</v>
      </c>
      <c r="K141" s="409">
        <v>1</v>
      </c>
      <c r="L141" s="411" t="s">
        <v>221</v>
      </c>
      <c r="M141" s="411" t="s">
        <v>811</v>
      </c>
      <c r="N141" s="415">
        <v>3</v>
      </c>
      <c r="O141" s="416">
        <f>2+0.1</f>
        <v>2.1</v>
      </c>
      <c r="P141" s="422">
        <f t="shared" si="4"/>
        <v>0.41176470588235298</v>
      </c>
      <c r="Q141" s="416" t="s">
        <v>220</v>
      </c>
      <c r="R141" s="409" t="s">
        <v>221</v>
      </c>
      <c r="S141" s="409" t="s">
        <v>221</v>
      </c>
      <c r="T141" s="417" t="s">
        <v>67</v>
      </c>
      <c r="U141" s="409" t="str">
        <f t="shared" si="5"/>
        <v>2020</v>
      </c>
      <c r="AA141" s="410"/>
      <c r="AD141" s="418"/>
    </row>
    <row r="142" spans="1:30" s="409" customFormat="1" ht="14.1" customHeight="1">
      <c r="A142" s="410">
        <v>44945</v>
      </c>
      <c r="B142" s="409" t="s">
        <v>323</v>
      </c>
      <c r="C142" s="411" t="s">
        <v>812</v>
      </c>
      <c r="D142" s="413" t="s">
        <v>814</v>
      </c>
      <c r="E142" s="411">
        <v>4</v>
      </c>
      <c r="F142" s="411" t="s">
        <v>665</v>
      </c>
      <c r="G142" s="412" t="s">
        <v>813</v>
      </c>
      <c r="H142" s="410">
        <v>44048</v>
      </c>
      <c r="I142" s="409" t="s">
        <v>221</v>
      </c>
      <c r="J142" s="409" t="s">
        <v>221</v>
      </c>
      <c r="K142" s="409">
        <v>1</v>
      </c>
      <c r="L142" s="411" t="s">
        <v>221</v>
      </c>
      <c r="M142" s="411" t="s">
        <v>815</v>
      </c>
      <c r="N142" s="415">
        <v>2</v>
      </c>
      <c r="O142" s="416">
        <v>1</v>
      </c>
      <c r="P142" s="422">
        <f t="shared" si="4"/>
        <v>0.33333333333333331</v>
      </c>
      <c r="Q142" s="416" t="s">
        <v>220</v>
      </c>
      <c r="R142" s="409" t="s">
        <v>221</v>
      </c>
      <c r="S142" s="409" t="s">
        <v>221</v>
      </c>
      <c r="T142" s="417" t="s">
        <v>67</v>
      </c>
      <c r="U142" s="409" t="str">
        <f t="shared" si="5"/>
        <v>2020</v>
      </c>
      <c r="AA142" s="410"/>
      <c r="AD142" s="418"/>
    </row>
    <row r="143" spans="1:30" s="409" customFormat="1" ht="14.1" customHeight="1">
      <c r="A143" s="410">
        <v>44936</v>
      </c>
      <c r="B143" s="409" t="s">
        <v>323</v>
      </c>
      <c r="C143" s="411" t="s">
        <v>816</v>
      </c>
      <c r="D143" s="413" t="s">
        <v>818</v>
      </c>
      <c r="E143" s="411">
        <v>10</v>
      </c>
      <c r="F143" s="411" t="s">
        <v>343</v>
      </c>
      <c r="G143" s="412" t="s">
        <v>817</v>
      </c>
      <c r="H143" s="410">
        <v>44280</v>
      </c>
      <c r="I143" s="409" t="s">
        <v>221</v>
      </c>
      <c r="J143" s="409" t="s">
        <v>221</v>
      </c>
      <c r="K143" s="409">
        <v>1</v>
      </c>
      <c r="L143" s="411" t="s">
        <v>220</v>
      </c>
      <c r="M143" s="411"/>
      <c r="N143" s="415">
        <v>3</v>
      </c>
      <c r="O143" s="416"/>
      <c r="P143" s="422">
        <f t="shared" si="4"/>
        <v>0</v>
      </c>
      <c r="Q143" s="416" t="s">
        <v>220</v>
      </c>
      <c r="R143" s="409" t="s">
        <v>221</v>
      </c>
      <c r="S143" s="409" t="s">
        <v>221</v>
      </c>
      <c r="T143" s="417" t="s">
        <v>67</v>
      </c>
      <c r="U143" s="409" t="str">
        <f t="shared" si="5"/>
        <v>2020</v>
      </c>
      <c r="AA143" s="410"/>
      <c r="AD143" s="418"/>
    </row>
    <row r="144" spans="1:30" s="409" customFormat="1" ht="14.1" customHeight="1">
      <c r="A144" s="410">
        <v>44946</v>
      </c>
      <c r="B144" s="409" t="s">
        <v>318</v>
      </c>
      <c r="C144" s="411" t="s">
        <v>819</v>
      </c>
      <c r="D144" s="413" t="s">
        <v>821</v>
      </c>
      <c r="E144" s="411">
        <v>4</v>
      </c>
      <c r="F144" s="411" t="s">
        <v>665</v>
      </c>
      <c r="G144" s="412" t="s">
        <v>820</v>
      </c>
      <c r="H144" s="410">
        <v>44279</v>
      </c>
      <c r="I144" s="409" t="s">
        <v>221</v>
      </c>
      <c r="J144" s="409" t="s">
        <v>221</v>
      </c>
      <c r="K144" s="409">
        <v>1</v>
      </c>
      <c r="L144" s="411" t="s">
        <v>221</v>
      </c>
      <c r="M144" s="411" t="s">
        <v>225</v>
      </c>
      <c r="N144" s="415">
        <v>3</v>
      </c>
      <c r="O144" s="416">
        <v>2</v>
      </c>
      <c r="P144" s="422">
        <f t="shared" si="4"/>
        <v>0.4</v>
      </c>
      <c r="Q144" s="416" t="s">
        <v>220</v>
      </c>
      <c r="R144" s="409" t="s">
        <v>221</v>
      </c>
      <c r="S144" s="409" t="s">
        <v>221</v>
      </c>
      <c r="T144" s="417" t="s">
        <v>67</v>
      </c>
      <c r="U144" s="409" t="str">
        <f t="shared" si="5"/>
        <v>2020</v>
      </c>
      <c r="AA144" s="410"/>
      <c r="AD144" s="418"/>
    </row>
    <row r="145" spans="1:30" s="409" customFormat="1" ht="14.1" customHeight="1">
      <c r="A145" s="410">
        <v>44938</v>
      </c>
      <c r="B145" s="409" t="s">
        <v>328</v>
      </c>
      <c r="C145" s="411" t="s">
        <v>822</v>
      </c>
      <c r="D145" s="413" t="s">
        <v>824</v>
      </c>
      <c r="E145" s="411">
        <v>4</v>
      </c>
      <c r="F145" s="411" t="s">
        <v>347</v>
      </c>
      <c r="G145" s="412" t="s">
        <v>823</v>
      </c>
      <c r="H145" s="410">
        <v>44263</v>
      </c>
      <c r="I145" s="409" t="s">
        <v>221</v>
      </c>
      <c r="J145" s="409" t="s">
        <v>221</v>
      </c>
      <c r="K145" s="409">
        <v>1</v>
      </c>
      <c r="L145" s="411" t="s">
        <v>221</v>
      </c>
      <c r="M145" s="411" t="s">
        <v>224</v>
      </c>
      <c r="N145" s="415">
        <v>2</v>
      </c>
      <c r="O145" s="416">
        <f>2/7</f>
        <v>0.2857142857142857</v>
      </c>
      <c r="P145" s="422">
        <f t="shared" si="4"/>
        <v>0.125</v>
      </c>
      <c r="Q145" s="416" t="s">
        <v>220</v>
      </c>
      <c r="R145" s="409" t="s">
        <v>221</v>
      </c>
      <c r="S145" s="409" t="s">
        <v>221</v>
      </c>
      <c r="T145" s="417" t="s">
        <v>369</v>
      </c>
      <c r="U145" s="409" t="str">
        <f t="shared" si="5"/>
        <v>2020</v>
      </c>
      <c r="AA145" s="410"/>
      <c r="AD145" s="418"/>
    </row>
    <row r="146" spans="1:30" s="409" customFormat="1" ht="14.1" customHeight="1">
      <c r="A146" s="410">
        <v>44928</v>
      </c>
      <c r="B146" s="409" t="s">
        <v>318</v>
      </c>
      <c r="C146" s="411" t="s">
        <v>825</v>
      </c>
      <c r="D146" s="413" t="s">
        <v>827</v>
      </c>
      <c r="E146" s="411">
        <v>5</v>
      </c>
      <c r="F146" s="411" t="s">
        <v>381</v>
      </c>
      <c r="G146" s="412" t="s">
        <v>826</v>
      </c>
      <c r="H146" s="410">
        <v>44043</v>
      </c>
      <c r="I146" s="409" t="s">
        <v>221</v>
      </c>
      <c r="J146" s="409" t="s">
        <v>221</v>
      </c>
      <c r="K146" s="409">
        <v>1</v>
      </c>
      <c r="L146" s="411" t="s">
        <v>220</v>
      </c>
      <c r="M146" s="411"/>
      <c r="N146" s="415">
        <v>2</v>
      </c>
      <c r="O146" s="416"/>
      <c r="P146" s="422">
        <f t="shared" si="4"/>
        <v>0</v>
      </c>
      <c r="Q146" s="416" t="s">
        <v>220</v>
      </c>
      <c r="R146" s="409" t="s">
        <v>221</v>
      </c>
      <c r="S146" s="409" t="s">
        <v>221</v>
      </c>
      <c r="T146" s="417" t="s">
        <v>67</v>
      </c>
      <c r="U146" s="409" t="str">
        <f t="shared" si="5"/>
        <v>2020</v>
      </c>
      <c r="AA146" s="410"/>
      <c r="AD146" s="418"/>
    </row>
    <row r="147" spans="1:30" s="409" customFormat="1" ht="14.1" customHeight="1">
      <c r="A147" s="410">
        <v>44933</v>
      </c>
      <c r="B147" s="409" t="s">
        <v>318</v>
      </c>
      <c r="C147" s="411" t="s">
        <v>828</v>
      </c>
      <c r="D147" s="413" t="s">
        <v>830</v>
      </c>
      <c r="E147" s="411">
        <v>7</v>
      </c>
      <c r="F147" s="411" t="s">
        <v>385</v>
      </c>
      <c r="G147" s="412" t="s">
        <v>829</v>
      </c>
      <c r="H147" s="410">
        <v>44278</v>
      </c>
      <c r="I147" s="409" t="s">
        <v>221</v>
      </c>
      <c r="J147" s="409" t="s">
        <v>221</v>
      </c>
      <c r="K147" s="409">
        <v>1</v>
      </c>
      <c r="L147" s="411" t="s">
        <v>220</v>
      </c>
      <c r="M147" s="411"/>
      <c r="N147" s="415">
        <v>3</v>
      </c>
      <c r="O147" s="416"/>
      <c r="P147" s="422">
        <f t="shared" si="4"/>
        <v>0</v>
      </c>
      <c r="Q147" s="416" t="s">
        <v>220</v>
      </c>
      <c r="R147" s="409" t="s">
        <v>221</v>
      </c>
      <c r="S147" s="409" t="s">
        <v>221</v>
      </c>
      <c r="T147" s="417" t="s">
        <v>67</v>
      </c>
      <c r="U147" s="409" t="str">
        <f t="shared" si="5"/>
        <v>2020</v>
      </c>
      <c r="AA147" s="410"/>
      <c r="AD147" s="418"/>
    </row>
    <row r="148" spans="1:30" s="409" customFormat="1" ht="14.1" customHeight="1">
      <c r="A148" s="410">
        <v>44943</v>
      </c>
      <c r="B148" s="409" t="s">
        <v>338</v>
      </c>
      <c r="C148" s="411" t="s">
        <v>831</v>
      </c>
      <c r="D148" s="413" t="s">
        <v>833</v>
      </c>
      <c r="E148" s="411">
        <v>5</v>
      </c>
      <c r="F148" s="411" t="s">
        <v>340</v>
      </c>
      <c r="G148" s="412" t="s">
        <v>832</v>
      </c>
      <c r="H148" s="410">
        <v>44273</v>
      </c>
      <c r="I148" s="409" t="s">
        <v>221</v>
      </c>
      <c r="J148" s="409" t="s">
        <v>221</v>
      </c>
      <c r="K148" s="409">
        <v>1</v>
      </c>
      <c r="L148" s="411" t="s">
        <v>220</v>
      </c>
      <c r="M148" s="411"/>
      <c r="N148" s="415">
        <v>2</v>
      </c>
      <c r="O148" s="416"/>
      <c r="P148" s="422">
        <f t="shared" si="4"/>
        <v>0</v>
      </c>
      <c r="Q148" s="416" t="s">
        <v>220</v>
      </c>
      <c r="R148" s="409" t="s">
        <v>221</v>
      </c>
      <c r="S148" s="409" t="s">
        <v>221</v>
      </c>
      <c r="T148" s="417" t="s">
        <v>67</v>
      </c>
      <c r="U148" s="409" t="str">
        <f t="shared" si="5"/>
        <v>2020</v>
      </c>
      <c r="AA148" s="410"/>
      <c r="AD148" s="418"/>
    </row>
    <row r="149" spans="1:30" s="409" customFormat="1" ht="14.1" customHeight="1">
      <c r="A149" s="410">
        <v>44945</v>
      </c>
      <c r="B149" s="409" t="s">
        <v>323</v>
      </c>
      <c r="C149" s="411" t="s">
        <v>834</v>
      </c>
      <c r="D149" s="413" t="s">
        <v>836</v>
      </c>
      <c r="E149" s="411">
        <v>3</v>
      </c>
      <c r="F149" s="411" t="s">
        <v>599</v>
      </c>
      <c r="G149" s="412" t="s">
        <v>835</v>
      </c>
      <c r="H149" s="410">
        <v>44250</v>
      </c>
      <c r="I149" s="409" t="s">
        <v>221</v>
      </c>
      <c r="J149" s="409" t="s">
        <v>221</v>
      </c>
      <c r="K149" s="409">
        <v>1</v>
      </c>
      <c r="L149" s="411" t="s">
        <v>221</v>
      </c>
      <c r="M149" s="411" t="s">
        <v>442</v>
      </c>
      <c r="N149" s="415">
        <v>2</v>
      </c>
      <c r="O149" s="416">
        <v>1</v>
      </c>
      <c r="P149" s="422">
        <f t="shared" si="4"/>
        <v>0.33333333333333331</v>
      </c>
      <c r="Q149" s="416" t="s">
        <v>220</v>
      </c>
      <c r="R149" s="409" t="s">
        <v>221</v>
      </c>
      <c r="S149" s="409" t="s">
        <v>221</v>
      </c>
      <c r="T149" s="417" t="s">
        <v>67</v>
      </c>
      <c r="U149" s="409" t="str">
        <f t="shared" si="5"/>
        <v>2020</v>
      </c>
      <c r="AA149" s="410"/>
      <c r="AD149" s="418"/>
    </row>
    <row r="150" spans="1:30" s="409" customFormat="1" ht="14.1" customHeight="1">
      <c r="A150" s="410">
        <v>44943</v>
      </c>
      <c r="B150" s="409" t="s">
        <v>328</v>
      </c>
      <c r="C150" s="411" t="s">
        <v>837</v>
      </c>
      <c r="D150" s="413" t="s">
        <v>839</v>
      </c>
      <c r="E150" s="411">
        <v>6</v>
      </c>
      <c r="F150" s="411" t="s">
        <v>340</v>
      </c>
      <c r="G150" s="412" t="s">
        <v>838</v>
      </c>
      <c r="H150" s="410">
        <v>44016</v>
      </c>
      <c r="I150" s="409" t="s">
        <v>221</v>
      </c>
      <c r="J150" s="409" t="s">
        <v>221</v>
      </c>
      <c r="K150" s="409">
        <v>1</v>
      </c>
      <c r="L150" s="411" t="s">
        <v>221</v>
      </c>
      <c r="M150" s="411" t="s">
        <v>350</v>
      </c>
      <c r="N150" s="415">
        <v>3</v>
      </c>
      <c r="O150" s="416">
        <f>0.1+1</f>
        <v>1.1000000000000001</v>
      </c>
      <c r="P150" s="422">
        <f t="shared" si="4"/>
        <v>0.26829268292682934</v>
      </c>
      <c r="Q150" s="416" t="s">
        <v>220</v>
      </c>
      <c r="R150" s="409" t="s">
        <v>221</v>
      </c>
      <c r="S150" s="409" t="s">
        <v>221</v>
      </c>
      <c r="T150" s="417" t="s">
        <v>67</v>
      </c>
      <c r="U150" s="409" t="str">
        <f t="shared" si="5"/>
        <v>2020</v>
      </c>
      <c r="AA150" s="410"/>
      <c r="AD150" s="418"/>
    </row>
    <row r="151" spans="1:30" s="409" customFormat="1" ht="14.1" customHeight="1">
      <c r="A151" s="410">
        <v>44943</v>
      </c>
      <c r="B151" s="409" t="s">
        <v>318</v>
      </c>
      <c r="C151" s="411" t="s">
        <v>840</v>
      </c>
      <c r="D151" s="413" t="s">
        <v>842</v>
      </c>
      <c r="E151" s="411">
        <v>7</v>
      </c>
      <c r="F151" s="411" t="s">
        <v>343</v>
      </c>
      <c r="G151" s="412" t="s">
        <v>841</v>
      </c>
      <c r="H151" s="410">
        <v>44233</v>
      </c>
      <c r="I151" s="409" t="s">
        <v>221</v>
      </c>
      <c r="J151" s="409" t="s">
        <v>221</v>
      </c>
      <c r="K151" s="409">
        <v>1</v>
      </c>
      <c r="L151" s="411" t="s">
        <v>221</v>
      </c>
      <c r="M151" s="411" t="s">
        <v>442</v>
      </c>
      <c r="N151" s="415">
        <v>3</v>
      </c>
      <c r="O151" s="416">
        <f>1/7</f>
        <v>0.14285714285714285</v>
      </c>
      <c r="P151" s="422">
        <f t="shared" si="4"/>
        <v>4.5454545454545456E-2</v>
      </c>
      <c r="Q151" s="416" t="s">
        <v>220</v>
      </c>
      <c r="R151" s="409" t="s">
        <v>221</v>
      </c>
      <c r="S151" s="409" t="s">
        <v>221</v>
      </c>
      <c r="T151" s="417" t="s">
        <v>67</v>
      </c>
      <c r="U151" s="409" t="str">
        <f t="shared" si="5"/>
        <v>2020</v>
      </c>
      <c r="AA151" s="410"/>
      <c r="AD151" s="418"/>
    </row>
    <row r="152" spans="1:30" s="409" customFormat="1" ht="14.1" customHeight="1">
      <c r="A152" s="410">
        <v>44938</v>
      </c>
      <c r="B152" s="409" t="s">
        <v>338</v>
      </c>
      <c r="C152" s="411" t="s">
        <v>843</v>
      </c>
      <c r="D152" s="413" t="s">
        <v>845</v>
      </c>
      <c r="E152" s="411">
        <v>11</v>
      </c>
      <c r="F152" s="411" t="s">
        <v>347</v>
      </c>
      <c r="G152" s="412" t="s">
        <v>844</v>
      </c>
      <c r="H152" s="410">
        <v>44292</v>
      </c>
      <c r="I152" s="409" t="s">
        <v>221</v>
      </c>
      <c r="J152" s="409" t="s">
        <v>221</v>
      </c>
      <c r="K152" s="409">
        <v>1</v>
      </c>
      <c r="L152" s="411" t="s">
        <v>221</v>
      </c>
      <c r="M152" s="411" t="s">
        <v>548</v>
      </c>
      <c r="N152" s="415">
        <v>3</v>
      </c>
      <c r="O152" s="416">
        <f>2/7</f>
        <v>0.2857142857142857</v>
      </c>
      <c r="P152" s="422">
        <f t="shared" si="4"/>
        <v>8.6956521739130432E-2</v>
      </c>
      <c r="Q152" s="416" t="s">
        <v>220</v>
      </c>
      <c r="R152" s="409" t="s">
        <v>221</v>
      </c>
      <c r="S152" s="409" t="s">
        <v>221</v>
      </c>
      <c r="T152" s="417" t="s">
        <v>67</v>
      </c>
      <c r="U152" s="409" t="str">
        <f t="shared" si="5"/>
        <v>2020</v>
      </c>
      <c r="AA152" s="410"/>
      <c r="AD152" s="418"/>
    </row>
    <row r="153" spans="1:30" s="409" customFormat="1" ht="14.1" customHeight="1">
      <c r="A153" s="410">
        <v>44932</v>
      </c>
      <c r="B153" s="409" t="s">
        <v>323</v>
      </c>
      <c r="C153" s="411" t="s">
        <v>846</v>
      </c>
      <c r="D153" s="413" t="s">
        <v>848</v>
      </c>
      <c r="E153" s="411">
        <v>4</v>
      </c>
      <c r="F153" s="411" t="s">
        <v>448</v>
      </c>
      <c r="G153" s="412" t="s">
        <v>847</v>
      </c>
      <c r="H153" s="410">
        <v>44245</v>
      </c>
      <c r="I153" s="409" t="s">
        <v>221</v>
      </c>
      <c r="J153" s="409" t="s">
        <v>221</v>
      </c>
      <c r="K153" s="409">
        <v>1</v>
      </c>
      <c r="L153" s="411" t="s">
        <v>220</v>
      </c>
      <c r="M153" s="411"/>
      <c r="N153" s="415">
        <v>2</v>
      </c>
      <c r="O153" s="416"/>
      <c r="P153" s="422">
        <f t="shared" si="4"/>
        <v>0</v>
      </c>
      <c r="Q153" s="416" t="s">
        <v>220</v>
      </c>
      <c r="R153" s="409" t="s">
        <v>221</v>
      </c>
      <c r="S153" s="409" t="s">
        <v>221</v>
      </c>
      <c r="T153" s="417" t="s">
        <v>67</v>
      </c>
      <c r="U153" s="409" t="str">
        <f t="shared" si="5"/>
        <v>2020</v>
      </c>
      <c r="AA153" s="410"/>
      <c r="AD153" s="418"/>
    </row>
    <row r="154" spans="1:30" s="409" customFormat="1" ht="14.1" customHeight="1">
      <c r="A154" s="410">
        <v>44937</v>
      </c>
      <c r="B154" s="409" t="s">
        <v>323</v>
      </c>
      <c r="C154" s="411" t="s">
        <v>849</v>
      </c>
      <c r="D154" s="413" t="s">
        <v>851</v>
      </c>
      <c r="E154" s="411">
        <v>5</v>
      </c>
      <c r="F154" s="411" t="s">
        <v>356</v>
      </c>
      <c r="G154" s="412" t="s">
        <v>850</v>
      </c>
      <c r="H154" s="410">
        <v>44205</v>
      </c>
      <c r="I154" s="409" t="s">
        <v>221</v>
      </c>
      <c r="J154" s="409" t="s">
        <v>221</v>
      </c>
      <c r="K154" s="409">
        <v>1</v>
      </c>
      <c r="L154" s="411" t="s">
        <v>220</v>
      </c>
      <c r="M154" s="411"/>
      <c r="N154" s="415">
        <v>3</v>
      </c>
      <c r="O154" s="416"/>
      <c r="P154" s="422">
        <f t="shared" si="4"/>
        <v>0</v>
      </c>
      <c r="Q154" s="416" t="s">
        <v>220</v>
      </c>
      <c r="R154" s="409" t="s">
        <v>221</v>
      </c>
      <c r="S154" s="409" t="s">
        <v>221</v>
      </c>
      <c r="T154" s="417" t="s">
        <v>67</v>
      </c>
      <c r="U154" s="409" t="str">
        <f t="shared" si="5"/>
        <v>2020</v>
      </c>
      <c r="AA154" s="410"/>
      <c r="AD154" s="418"/>
    </row>
    <row r="155" spans="1:30" s="409" customFormat="1" ht="14.1" customHeight="1">
      <c r="A155" s="410">
        <v>44929</v>
      </c>
      <c r="B155" s="409" t="s">
        <v>323</v>
      </c>
      <c r="C155" s="411" t="s">
        <v>852</v>
      </c>
      <c r="D155" s="413" t="s">
        <v>854</v>
      </c>
      <c r="E155" s="411">
        <v>4</v>
      </c>
      <c r="F155" s="411" t="s">
        <v>398</v>
      </c>
      <c r="G155" s="412" t="s">
        <v>853</v>
      </c>
      <c r="H155" s="410">
        <v>44217</v>
      </c>
      <c r="I155" s="409" t="s">
        <v>221</v>
      </c>
      <c r="J155" s="409" t="s">
        <v>221</v>
      </c>
      <c r="K155" s="409">
        <v>1</v>
      </c>
      <c r="L155" s="411" t="s">
        <v>221</v>
      </c>
      <c r="M155" s="411" t="s">
        <v>224</v>
      </c>
      <c r="N155" s="415">
        <v>3</v>
      </c>
      <c r="O155" s="416">
        <v>1</v>
      </c>
      <c r="P155" s="422">
        <f t="shared" si="4"/>
        <v>0.25</v>
      </c>
      <c r="Q155" s="416" t="s">
        <v>220</v>
      </c>
      <c r="R155" s="409" t="s">
        <v>221</v>
      </c>
      <c r="S155" s="409" t="s">
        <v>221</v>
      </c>
      <c r="T155" s="417" t="s">
        <v>67</v>
      </c>
      <c r="U155" s="409" t="str">
        <f t="shared" si="5"/>
        <v>2020</v>
      </c>
      <c r="AA155" s="410"/>
      <c r="AD155" s="418"/>
    </row>
    <row r="156" spans="1:30" s="409" customFormat="1" ht="14.1" customHeight="1">
      <c r="A156" s="410">
        <v>44936</v>
      </c>
      <c r="B156" s="409" t="s">
        <v>323</v>
      </c>
      <c r="C156" s="411" t="s">
        <v>855</v>
      </c>
      <c r="D156" s="413" t="s">
        <v>858</v>
      </c>
      <c r="E156" s="411">
        <v>5</v>
      </c>
      <c r="F156" s="411" t="s">
        <v>856</v>
      </c>
      <c r="G156" s="412" t="s">
        <v>857</v>
      </c>
      <c r="H156" s="410">
        <v>44235</v>
      </c>
      <c r="I156" s="409" t="s">
        <v>221</v>
      </c>
      <c r="J156" s="409" t="s">
        <v>221</v>
      </c>
      <c r="K156" s="409">
        <v>1</v>
      </c>
      <c r="L156" s="411" t="s">
        <v>221</v>
      </c>
      <c r="M156" s="411" t="s">
        <v>224</v>
      </c>
      <c r="N156" s="415">
        <v>2</v>
      </c>
      <c r="O156" s="416">
        <v>1</v>
      </c>
      <c r="P156" s="422">
        <f t="shared" si="4"/>
        <v>0.33333333333333331</v>
      </c>
      <c r="Q156" s="416" t="s">
        <v>220</v>
      </c>
      <c r="R156" s="409" t="s">
        <v>221</v>
      </c>
      <c r="S156" s="409" t="s">
        <v>221</v>
      </c>
      <c r="T156" s="417" t="s">
        <v>67</v>
      </c>
      <c r="U156" s="409" t="str">
        <f t="shared" si="5"/>
        <v>2020</v>
      </c>
      <c r="AA156" s="410"/>
      <c r="AD156" s="418"/>
    </row>
    <row r="157" spans="1:30" s="409" customFormat="1" ht="14.1" customHeight="1">
      <c r="A157" s="410">
        <v>44929</v>
      </c>
      <c r="B157" s="409" t="s">
        <v>338</v>
      </c>
      <c r="C157" s="411" t="s">
        <v>859</v>
      </c>
      <c r="D157" s="413" t="s">
        <v>861</v>
      </c>
      <c r="E157" s="411">
        <v>4</v>
      </c>
      <c r="F157" s="411" t="s">
        <v>398</v>
      </c>
      <c r="G157" s="412" t="s">
        <v>860</v>
      </c>
      <c r="H157" s="410">
        <v>44249</v>
      </c>
      <c r="I157" s="409" t="s">
        <v>221</v>
      </c>
      <c r="J157" s="409" t="s">
        <v>221</v>
      </c>
      <c r="K157" s="409">
        <v>2</v>
      </c>
      <c r="L157" s="411" t="s">
        <v>221</v>
      </c>
      <c r="M157" s="411" t="s">
        <v>224</v>
      </c>
      <c r="N157" s="415">
        <v>3</v>
      </c>
      <c r="O157" s="416">
        <v>2</v>
      </c>
      <c r="P157" s="422">
        <f t="shared" si="4"/>
        <v>0.4</v>
      </c>
      <c r="Q157" s="416" t="s">
        <v>220</v>
      </c>
      <c r="R157" s="409" t="s">
        <v>221</v>
      </c>
      <c r="S157" s="409" t="s">
        <v>221</v>
      </c>
      <c r="T157" s="417" t="s">
        <v>67</v>
      </c>
      <c r="U157" s="409" t="str">
        <f t="shared" si="5"/>
        <v>2020</v>
      </c>
      <c r="AA157" s="410"/>
      <c r="AD157" s="418"/>
    </row>
    <row r="158" spans="1:30" s="409" customFormat="1" ht="14.1" customHeight="1">
      <c r="A158" s="410">
        <v>44942</v>
      </c>
      <c r="B158" s="409" t="s">
        <v>323</v>
      </c>
      <c r="C158" s="411" t="s">
        <v>862</v>
      </c>
      <c r="D158" s="413" t="s">
        <v>864</v>
      </c>
      <c r="E158" s="411">
        <v>10</v>
      </c>
      <c r="F158" s="411" t="s">
        <v>320</v>
      </c>
      <c r="G158" s="412" t="s">
        <v>863</v>
      </c>
      <c r="H158" s="410">
        <v>44182</v>
      </c>
      <c r="I158" s="409" t="s">
        <v>221</v>
      </c>
      <c r="J158" s="409" t="s">
        <v>221</v>
      </c>
      <c r="K158" s="409">
        <v>1</v>
      </c>
      <c r="L158" s="411" t="s">
        <v>220</v>
      </c>
      <c r="M158" s="411"/>
      <c r="N158" s="415">
        <v>3</v>
      </c>
      <c r="O158" s="416"/>
      <c r="P158" s="422">
        <f t="shared" si="4"/>
        <v>0</v>
      </c>
      <c r="Q158" s="416" t="s">
        <v>220</v>
      </c>
      <c r="R158" s="409" t="s">
        <v>221</v>
      </c>
      <c r="S158" s="409" t="s">
        <v>221</v>
      </c>
      <c r="T158" s="417" t="s">
        <v>67</v>
      </c>
      <c r="U158" s="409" t="str">
        <f t="shared" si="5"/>
        <v>2020</v>
      </c>
      <c r="AA158" s="410"/>
      <c r="AD158" s="418"/>
    </row>
    <row r="159" spans="1:30" s="409" customFormat="1" ht="14.1" customHeight="1">
      <c r="A159" s="410">
        <v>44943</v>
      </c>
      <c r="B159" s="409" t="s">
        <v>323</v>
      </c>
      <c r="C159" s="411" t="s">
        <v>865</v>
      </c>
      <c r="D159" s="413" t="s">
        <v>868</v>
      </c>
      <c r="E159" s="411">
        <v>4</v>
      </c>
      <c r="F159" s="411" t="s">
        <v>866</v>
      </c>
      <c r="G159" s="412" t="s">
        <v>867</v>
      </c>
      <c r="H159" s="410">
        <v>44182</v>
      </c>
      <c r="I159" s="409" t="s">
        <v>221</v>
      </c>
      <c r="J159" s="409" t="s">
        <v>221</v>
      </c>
      <c r="K159" s="409">
        <v>1</v>
      </c>
      <c r="L159" s="411" t="s">
        <v>221</v>
      </c>
      <c r="M159" s="411" t="s">
        <v>869</v>
      </c>
      <c r="N159" s="415">
        <v>2</v>
      </c>
      <c r="O159" s="416">
        <f>1+0.3</f>
        <v>1.3</v>
      </c>
      <c r="P159" s="422">
        <f t="shared" si="4"/>
        <v>0.39393939393939398</v>
      </c>
      <c r="Q159" s="416" t="s">
        <v>220</v>
      </c>
      <c r="R159" s="409" t="s">
        <v>221</v>
      </c>
      <c r="S159" s="409" t="s">
        <v>221</v>
      </c>
      <c r="T159" s="417" t="s">
        <v>67</v>
      </c>
      <c r="U159" s="409" t="str">
        <f t="shared" si="5"/>
        <v>2020</v>
      </c>
      <c r="AA159" s="410"/>
      <c r="AD159" s="418"/>
    </row>
    <row r="160" spans="1:30" s="409" customFormat="1" ht="14.1" customHeight="1">
      <c r="A160" s="410">
        <v>44943</v>
      </c>
      <c r="B160" s="409" t="s">
        <v>318</v>
      </c>
      <c r="C160" s="411" t="s">
        <v>870</v>
      </c>
      <c r="D160" s="413" t="s">
        <v>872</v>
      </c>
      <c r="E160" s="411">
        <v>9</v>
      </c>
      <c r="F160" s="411" t="s">
        <v>866</v>
      </c>
      <c r="G160" s="412" t="s">
        <v>871</v>
      </c>
      <c r="H160" s="410">
        <v>44182</v>
      </c>
      <c r="I160" s="409" t="s">
        <v>221</v>
      </c>
      <c r="J160" s="409" t="s">
        <v>221</v>
      </c>
      <c r="K160" s="409">
        <v>1</v>
      </c>
      <c r="L160" s="411" t="s">
        <v>221</v>
      </c>
      <c r="M160" s="411" t="s">
        <v>224</v>
      </c>
      <c r="N160" s="415">
        <v>3</v>
      </c>
      <c r="O160" s="416">
        <f>1/7</f>
        <v>0.14285714285714285</v>
      </c>
      <c r="P160" s="422">
        <f t="shared" si="4"/>
        <v>4.5454545454545456E-2</v>
      </c>
      <c r="Q160" s="416" t="s">
        <v>220</v>
      </c>
      <c r="R160" s="409" t="s">
        <v>221</v>
      </c>
      <c r="S160" s="409" t="s">
        <v>221</v>
      </c>
      <c r="T160" s="417" t="s">
        <v>67</v>
      </c>
      <c r="U160" s="409" t="str">
        <f t="shared" si="5"/>
        <v>2020</v>
      </c>
      <c r="AA160" s="410"/>
      <c r="AD160" s="418"/>
    </row>
    <row r="161" spans="1:30" s="409" customFormat="1" ht="14.1" customHeight="1">
      <c r="A161" s="410">
        <v>44938</v>
      </c>
      <c r="B161" s="409" t="s">
        <v>338</v>
      </c>
      <c r="C161" s="411" t="s">
        <v>873</v>
      </c>
      <c r="D161" s="413" t="s">
        <v>875</v>
      </c>
      <c r="E161" s="411">
        <v>3</v>
      </c>
      <c r="F161" s="411" t="s">
        <v>419</v>
      </c>
      <c r="G161" s="412" t="s">
        <v>874</v>
      </c>
      <c r="H161" s="410">
        <v>44250</v>
      </c>
      <c r="I161" s="409" t="s">
        <v>221</v>
      </c>
      <c r="J161" s="409" t="s">
        <v>221</v>
      </c>
      <c r="K161" s="409">
        <v>1</v>
      </c>
      <c r="L161" s="411" t="s">
        <v>221</v>
      </c>
      <c r="M161" s="411" t="s">
        <v>428</v>
      </c>
      <c r="N161" s="415">
        <v>2</v>
      </c>
      <c r="O161" s="416">
        <f>1+0.1</f>
        <v>1.1000000000000001</v>
      </c>
      <c r="P161" s="422">
        <f t="shared" si="4"/>
        <v>0.35483870967741937</v>
      </c>
      <c r="Q161" s="416" t="s">
        <v>220</v>
      </c>
      <c r="R161" s="409" t="s">
        <v>221</v>
      </c>
      <c r="S161" s="409" t="s">
        <v>221</v>
      </c>
      <c r="T161" s="417" t="s">
        <v>67</v>
      </c>
      <c r="U161" s="409" t="str">
        <f t="shared" si="5"/>
        <v>2020</v>
      </c>
      <c r="AA161" s="410"/>
      <c r="AD161" s="418"/>
    </row>
    <row r="162" spans="1:30" s="409" customFormat="1" ht="14.1" customHeight="1">
      <c r="A162" s="410">
        <v>44932</v>
      </c>
      <c r="B162" s="409" t="s">
        <v>323</v>
      </c>
      <c r="C162" s="411" t="s">
        <v>876</v>
      </c>
      <c r="D162" s="413" t="s">
        <v>878</v>
      </c>
      <c r="E162" s="411">
        <v>4</v>
      </c>
      <c r="F162" s="411" t="s">
        <v>325</v>
      </c>
      <c r="G162" s="412" t="s">
        <v>877</v>
      </c>
      <c r="H162" s="410">
        <v>44162</v>
      </c>
      <c r="I162" s="409" t="s">
        <v>221</v>
      </c>
      <c r="J162" s="409" t="s">
        <v>221</v>
      </c>
      <c r="K162" s="409">
        <v>1</v>
      </c>
      <c r="L162" s="411" t="s">
        <v>221</v>
      </c>
      <c r="M162" s="411" t="s">
        <v>224</v>
      </c>
      <c r="N162" s="415">
        <v>2</v>
      </c>
      <c r="O162" s="416">
        <f>1/7</f>
        <v>0.14285714285714285</v>
      </c>
      <c r="P162" s="422">
        <f t="shared" si="4"/>
        <v>6.6666666666666666E-2</v>
      </c>
      <c r="Q162" s="416" t="s">
        <v>220</v>
      </c>
      <c r="R162" s="409" t="s">
        <v>221</v>
      </c>
      <c r="S162" s="409" t="s">
        <v>221</v>
      </c>
      <c r="T162" s="417" t="s">
        <v>67</v>
      </c>
      <c r="U162" s="409" t="str">
        <f t="shared" si="5"/>
        <v>2020</v>
      </c>
      <c r="AA162" s="410"/>
      <c r="AD162" s="418"/>
    </row>
    <row r="163" spans="1:30" s="409" customFormat="1" ht="14.1" customHeight="1">
      <c r="A163" s="410">
        <v>44930</v>
      </c>
      <c r="B163" s="409" t="s">
        <v>338</v>
      </c>
      <c r="C163" s="411" t="s">
        <v>879</v>
      </c>
      <c r="D163" s="413" t="s">
        <v>881</v>
      </c>
      <c r="E163" s="411">
        <v>3</v>
      </c>
      <c r="F163" s="411" t="s">
        <v>434</v>
      </c>
      <c r="G163" s="412" t="s">
        <v>880</v>
      </c>
      <c r="H163" s="410">
        <v>44231</v>
      </c>
      <c r="I163" s="409" t="s">
        <v>221</v>
      </c>
      <c r="J163" s="409" t="s">
        <v>221</v>
      </c>
      <c r="K163" s="409">
        <v>1</v>
      </c>
      <c r="L163" s="411" t="s">
        <v>221</v>
      </c>
      <c r="M163" s="411" t="s">
        <v>224</v>
      </c>
      <c r="N163" s="415">
        <v>3</v>
      </c>
      <c r="O163" s="416">
        <f>1/7</f>
        <v>0.14285714285714285</v>
      </c>
      <c r="P163" s="422">
        <f t="shared" si="4"/>
        <v>4.5454545454545456E-2</v>
      </c>
      <c r="Q163" s="416" t="s">
        <v>220</v>
      </c>
      <c r="R163" s="409" t="s">
        <v>221</v>
      </c>
      <c r="S163" s="409" t="s">
        <v>221</v>
      </c>
      <c r="T163" s="417" t="s">
        <v>67</v>
      </c>
      <c r="U163" s="409" t="str">
        <f t="shared" si="5"/>
        <v>2020</v>
      </c>
      <c r="AA163" s="410"/>
      <c r="AD163" s="418"/>
    </row>
    <row r="164" spans="1:30" s="409" customFormat="1" ht="14.1" customHeight="1">
      <c r="A164" s="410">
        <v>44939</v>
      </c>
      <c r="B164" s="409" t="s">
        <v>338</v>
      </c>
      <c r="C164" s="411" t="s">
        <v>882</v>
      </c>
      <c r="D164" s="413" t="s">
        <v>884</v>
      </c>
      <c r="E164" s="411">
        <v>2</v>
      </c>
      <c r="F164" s="411" t="s">
        <v>444</v>
      </c>
      <c r="G164" s="412" t="s">
        <v>883</v>
      </c>
      <c r="H164" s="410">
        <v>44144</v>
      </c>
      <c r="I164" s="409" t="s">
        <v>221</v>
      </c>
      <c r="J164" s="409" t="s">
        <v>221</v>
      </c>
      <c r="K164" s="409">
        <v>1</v>
      </c>
      <c r="L164" s="411" t="s">
        <v>220</v>
      </c>
      <c r="M164" s="411"/>
      <c r="N164" s="415">
        <v>2</v>
      </c>
      <c r="O164" s="416"/>
      <c r="P164" s="422">
        <f t="shared" si="4"/>
        <v>0</v>
      </c>
      <c r="Q164" s="416" t="s">
        <v>220</v>
      </c>
      <c r="R164" s="409" t="s">
        <v>221</v>
      </c>
      <c r="S164" s="409" t="s">
        <v>221</v>
      </c>
      <c r="T164" s="417" t="s">
        <v>67</v>
      </c>
      <c r="U164" s="409" t="str">
        <f t="shared" si="5"/>
        <v>2020</v>
      </c>
      <c r="AA164" s="410"/>
      <c r="AD164" s="418"/>
    </row>
    <row r="165" spans="1:30" s="409" customFormat="1" ht="14.1" customHeight="1">
      <c r="A165" s="410">
        <v>44939</v>
      </c>
      <c r="B165" s="409" t="s">
        <v>318</v>
      </c>
      <c r="C165" s="411" t="s">
        <v>885</v>
      </c>
      <c r="D165" s="413" t="s">
        <v>887</v>
      </c>
      <c r="E165" s="411">
        <v>5</v>
      </c>
      <c r="F165" s="411" t="s">
        <v>444</v>
      </c>
      <c r="G165" s="412" t="s">
        <v>886</v>
      </c>
      <c r="H165" s="410">
        <v>44137</v>
      </c>
      <c r="I165" s="409" t="s">
        <v>221</v>
      </c>
      <c r="J165" s="409" t="s">
        <v>221</v>
      </c>
      <c r="K165" s="409">
        <v>1</v>
      </c>
      <c r="L165" s="411" t="s">
        <v>221</v>
      </c>
      <c r="M165" s="411" t="s">
        <v>888</v>
      </c>
      <c r="N165" s="415">
        <v>3</v>
      </c>
      <c r="O165" s="416">
        <f>1/7</f>
        <v>0.14285714285714285</v>
      </c>
      <c r="P165" s="422">
        <f t="shared" si="4"/>
        <v>4.5454545454545456E-2</v>
      </c>
      <c r="Q165" s="416" t="s">
        <v>220</v>
      </c>
      <c r="R165" s="409" t="s">
        <v>221</v>
      </c>
      <c r="S165" s="409" t="s">
        <v>221</v>
      </c>
      <c r="T165" s="417" t="s">
        <v>67</v>
      </c>
      <c r="U165" s="409" t="str">
        <f t="shared" si="5"/>
        <v>2020</v>
      </c>
      <c r="AA165" s="410"/>
      <c r="AD165" s="418"/>
    </row>
    <row r="166" spans="1:30" s="409" customFormat="1" ht="14.1" customHeight="1">
      <c r="A166" s="410">
        <v>44928</v>
      </c>
      <c r="B166" s="409" t="s">
        <v>338</v>
      </c>
      <c r="C166" s="411" t="s">
        <v>889</v>
      </c>
      <c r="D166" s="413" t="s">
        <v>891</v>
      </c>
      <c r="E166" s="411">
        <v>9</v>
      </c>
      <c r="F166" s="411" t="s">
        <v>394</v>
      </c>
      <c r="G166" s="412" t="s">
        <v>890</v>
      </c>
      <c r="H166" s="410">
        <v>44138</v>
      </c>
      <c r="I166" s="409" t="s">
        <v>221</v>
      </c>
      <c r="J166" s="409" t="s">
        <v>221</v>
      </c>
      <c r="K166" s="409">
        <v>1</v>
      </c>
      <c r="L166" s="411" t="s">
        <v>221</v>
      </c>
      <c r="M166" s="411" t="s">
        <v>350</v>
      </c>
      <c r="N166" s="415">
        <v>3</v>
      </c>
      <c r="O166" s="416">
        <f>0.1+0.1</f>
        <v>0.2</v>
      </c>
      <c r="P166" s="422">
        <f t="shared" si="4"/>
        <v>6.25E-2</v>
      </c>
      <c r="Q166" s="416" t="s">
        <v>220</v>
      </c>
      <c r="R166" s="409" t="s">
        <v>221</v>
      </c>
      <c r="S166" s="409" t="s">
        <v>221</v>
      </c>
      <c r="T166" s="417" t="s">
        <v>67</v>
      </c>
      <c r="U166" s="409" t="str">
        <f t="shared" si="5"/>
        <v>2020</v>
      </c>
      <c r="AA166" s="410"/>
      <c r="AD166" s="418"/>
    </row>
    <row r="167" spans="1:30" s="409" customFormat="1" ht="14.1" customHeight="1">
      <c r="A167" s="410">
        <v>44929</v>
      </c>
      <c r="B167" s="409" t="s">
        <v>338</v>
      </c>
      <c r="C167" s="411" t="s">
        <v>892</v>
      </c>
      <c r="D167" s="413" t="s">
        <v>894</v>
      </c>
      <c r="E167" s="411">
        <v>4</v>
      </c>
      <c r="F167" s="411" t="s">
        <v>574</v>
      </c>
      <c r="G167" s="412" t="s">
        <v>893</v>
      </c>
      <c r="H167" s="410">
        <v>44236</v>
      </c>
      <c r="I167" s="409" t="s">
        <v>221</v>
      </c>
      <c r="J167" s="409" t="s">
        <v>221</v>
      </c>
      <c r="K167" s="409">
        <v>1</v>
      </c>
      <c r="L167" s="411" t="s">
        <v>220</v>
      </c>
      <c r="M167" s="411"/>
      <c r="N167" s="415">
        <v>2</v>
      </c>
      <c r="O167" s="416"/>
      <c r="P167" s="422">
        <f t="shared" si="4"/>
        <v>0</v>
      </c>
      <c r="Q167" s="416" t="s">
        <v>220</v>
      </c>
      <c r="R167" s="409" t="s">
        <v>221</v>
      </c>
      <c r="S167" s="409" t="s">
        <v>221</v>
      </c>
      <c r="T167" s="417" t="s">
        <v>67</v>
      </c>
      <c r="U167" s="409" t="str">
        <f t="shared" si="5"/>
        <v>2020</v>
      </c>
      <c r="AA167" s="410"/>
      <c r="AD167" s="418"/>
    </row>
    <row r="168" spans="1:30" s="409" customFormat="1" ht="14.1" customHeight="1">
      <c r="A168" s="410">
        <v>44932</v>
      </c>
      <c r="B168" s="409" t="s">
        <v>318</v>
      </c>
      <c r="C168" s="411" t="s">
        <v>895</v>
      </c>
      <c r="D168" s="413" t="s">
        <v>896</v>
      </c>
      <c r="E168" s="411">
        <v>5</v>
      </c>
      <c r="F168" s="411" t="s">
        <v>325</v>
      </c>
      <c r="G168" s="412" t="s">
        <v>648</v>
      </c>
      <c r="H168" s="410">
        <v>44162</v>
      </c>
      <c r="I168" s="409" t="s">
        <v>221</v>
      </c>
      <c r="J168" s="409" t="s">
        <v>221</v>
      </c>
      <c r="K168" s="409">
        <v>1</v>
      </c>
      <c r="L168" s="411" t="s">
        <v>220</v>
      </c>
      <c r="M168" s="411"/>
      <c r="N168" s="415">
        <v>2</v>
      </c>
      <c r="O168" s="416"/>
      <c r="P168" s="422">
        <f t="shared" si="4"/>
        <v>0</v>
      </c>
      <c r="Q168" s="416" t="s">
        <v>220</v>
      </c>
      <c r="R168" s="409" t="s">
        <v>221</v>
      </c>
      <c r="S168" s="409" t="s">
        <v>221</v>
      </c>
      <c r="T168" s="417" t="s">
        <v>67</v>
      </c>
      <c r="U168" s="409" t="str">
        <f t="shared" si="5"/>
        <v>2020</v>
      </c>
      <c r="AA168" s="410"/>
      <c r="AD168" s="418"/>
    </row>
    <row r="169" spans="1:30" s="409" customFormat="1" ht="14.1" customHeight="1">
      <c r="A169" s="410">
        <v>44937</v>
      </c>
      <c r="B169" s="409" t="s">
        <v>323</v>
      </c>
      <c r="C169" s="411" t="s">
        <v>232</v>
      </c>
      <c r="D169" s="413" t="s">
        <v>898</v>
      </c>
      <c r="E169" s="411">
        <v>10</v>
      </c>
      <c r="F169" s="411" t="s">
        <v>356</v>
      </c>
      <c r="G169" s="412" t="s">
        <v>897</v>
      </c>
      <c r="H169" s="410">
        <v>44188</v>
      </c>
      <c r="I169" s="409" t="s">
        <v>221</v>
      </c>
      <c r="J169" s="409" t="s">
        <v>221</v>
      </c>
      <c r="K169" s="409">
        <v>1</v>
      </c>
      <c r="L169" s="411" t="s">
        <v>220</v>
      </c>
      <c r="M169" s="411"/>
      <c r="N169" s="415">
        <v>3</v>
      </c>
      <c r="O169" s="416"/>
      <c r="P169" s="422">
        <f t="shared" si="4"/>
        <v>0</v>
      </c>
      <c r="Q169" s="416" t="s">
        <v>220</v>
      </c>
      <c r="R169" s="409" t="s">
        <v>221</v>
      </c>
      <c r="S169" s="409" t="s">
        <v>221</v>
      </c>
      <c r="T169" s="417" t="s">
        <v>67</v>
      </c>
      <c r="U169" s="409" t="str">
        <f t="shared" si="5"/>
        <v>2020</v>
      </c>
      <c r="AA169" s="410"/>
      <c r="AD169" s="418"/>
    </row>
    <row r="170" spans="1:30" s="409" customFormat="1" ht="14.1" customHeight="1">
      <c r="A170" s="410">
        <v>44937</v>
      </c>
      <c r="B170" s="409" t="s">
        <v>338</v>
      </c>
      <c r="C170" s="411" t="s">
        <v>233</v>
      </c>
      <c r="D170" s="413" t="s">
        <v>900</v>
      </c>
      <c r="E170" s="411">
        <v>6</v>
      </c>
      <c r="F170" s="411" t="s">
        <v>769</v>
      </c>
      <c r="G170" s="412" t="s">
        <v>899</v>
      </c>
      <c r="H170" s="410">
        <v>44188</v>
      </c>
      <c r="I170" s="409" t="s">
        <v>221</v>
      </c>
      <c r="J170" s="409" t="s">
        <v>221</v>
      </c>
      <c r="K170" s="409">
        <v>1</v>
      </c>
      <c r="L170" s="411" t="s">
        <v>221</v>
      </c>
      <c r="M170" s="411" t="s">
        <v>901</v>
      </c>
      <c r="N170" s="415">
        <v>2</v>
      </c>
      <c r="O170" s="416">
        <f>1/7</f>
        <v>0.14285714285714285</v>
      </c>
      <c r="P170" s="422">
        <f t="shared" si="4"/>
        <v>6.6666666666666666E-2</v>
      </c>
      <c r="Q170" s="416" t="s">
        <v>220</v>
      </c>
      <c r="R170" s="409" t="s">
        <v>221</v>
      </c>
      <c r="S170" s="409" t="s">
        <v>221</v>
      </c>
      <c r="T170" s="417" t="s">
        <v>67</v>
      </c>
      <c r="U170" s="409" t="str">
        <f t="shared" si="5"/>
        <v>2020</v>
      </c>
      <c r="AA170" s="410"/>
      <c r="AD170" s="418"/>
    </row>
    <row r="171" spans="1:30" s="409" customFormat="1" ht="14.1" customHeight="1">
      <c r="A171" s="410">
        <v>44945</v>
      </c>
      <c r="B171" s="409" t="s">
        <v>328</v>
      </c>
      <c r="C171" s="411" t="s">
        <v>902</v>
      </c>
      <c r="D171" s="413" t="s">
        <v>903</v>
      </c>
      <c r="E171" s="411">
        <v>7</v>
      </c>
      <c r="F171" s="411" t="s">
        <v>665</v>
      </c>
      <c r="G171" s="412" t="s">
        <v>672</v>
      </c>
      <c r="H171" s="410">
        <v>44048</v>
      </c>
      <c r="I171" s="409" t="s">
        <v>221</v>
      </c>
      <c r="J171" s="409" t="s">
        <v>221</v>
      </c>
      <c r="K171" s="409">
        <v>1</v>
      </c>
      <c r="L171" s="411" t="s">
        <v>220</v>
      </c>
      <c r="M171" s="411"/>
      <c r="N171" s="415">
        <v>2</v>
      </c>
      <c r="O171" s="416"/>
      <c r="P171" s="422">
        <f t="shared" si="4"/>
        <v>0</v>
      </c>
      <c r="Q171" s="416" t="s">
        <v>220</v>
      </c>
      <c r="R171" s="409" t="s">
        <v>221</v>
      </c>
      <c r="S171" s="409" t="s">
        <v>221</v>
      </c>
      <c r="T171" s="417" t="s">
        <v>67</v>
      </c>
      <c r="U171" s="409" t="str">
        <f t="shared" si="5"/>
        <v>2020</v>
      </c>
      <c r="AA171" s="410"/>
      <c r="AD171" s="418"/>
    </row>
    <row r="172" spans="1:30" s="409" customFormat="1" ht="14.1" customHeight="1">
      <c r="A172" s="410">
        <v>44937</v>
      </c>
      <c r="B172" s="409" t="s">
        <v>338</v>
      </c>
      <c r="C172" s="411" t="s">
        <v>226</v>
      </c>
      <c r="D172" s="413" t="s">
        <v>905</v>
      </c>
      <c r="E172" s="411">
        <v>6</v>
      </c>
      <c r="F172" s="411" t="s">
        <v>356</v>
      </c>
      <c r="G172" s="412" t="s">
        <v>904</v>
      </c>
      <c r="H172" s="410">
        <v>44135</v>
      </c>
      <c r="I172" s="409" t="s">
        <v>221</v>
      </c>
      <c r="J172" s="409" t="s">
        <v>221</v>
      </c>
      <c r="K172" s="409">
        <v>1</v>
      </c>
      <c r="L172" s="411" t="s">
        <v>221</v>
      </c>
      <c r="M172" s="411" t="s">
        <v>222</v>
      </c>
      <c r="N172" s="415">
        <v>3</v>
      </c>
      <c r="O172" s="416">
        <f>1/7</f>
        <v>0.14285714285714285</v>
      </c>
      <c r="P172" s="422">
        <f t="shared" si="4"/>
        <v>4.5454545454545456E-2</v>
      </c>
      <c r="Q172" s="416" t="s">
        <v>220</v>
      </c>
      <c r="R172" s="409" t="s">
        <v>221</v>
      </c>
      <c r="S172" s="409" t="s">
        <v>221</v>
      </c>
      <c r="T172" s="417" t="s">
        <v>67</v>
      </c>
      <c r="U172" s="409" t="str">
        <f t="shared" si="5"/>
        <v>2020</v>
      </c>
      <c r="AA172" s="410"/>
      <c r="AD172" s="418"/>
    </row>
    <row r="173" spans="1:30" s="409" customFormat="1" ht="14.1" customHeight="1">
      <c r="A173" s="410">
        <v>44937</v>
      </c>
      <c r="B173" s="409" t="s">
        <v>338</v>
      </c>
      <c r="C173" s="411" t="s">
        <v>906</v>
      </c>
      <c r="D173" s="413" t="s">
        <v>908</v>
      </c>
      <c r="E173" s="411">
        <v>8</v>
      </c>
      <c r="F173" s="411" t="s">
        <v>356</v>
      </c>
      <c r="G173" s="412" t="s">
        <v>907</v>
      </c>
      <c r="H173" s="410">
        <v>44127</v>
      </c>
      <c r="I173" s="409" t="s">
        <v>221</v>
      </c>
      <c r="J173" s="409" t="s">
        <v>221</v>
      </c>
      <c r="K173" s="409">
        <v>1</v>
      </c>
      <c r="L173" s="411" t="s">
        <v>221</v>
      </c>
      <c r="M173" s="411" t="s">
        <v>222</v>
      </c>
      <c r="N173" s="415">
        <v>2</v>
      </c>
      <c r="O173" s="416">
        <v>1</v>
      </c>
      <c r="P173" s="422">
        <f t="shared" si="4"/>
        <v>0.33333333333333331</v>
      </c>
      <c r="Q173" s="416" t="s">
        <v>220</v>
      </c>
      <c r="R173" s="409" t="s">
        <v>221</v>
      </c>
      <c r="S173" s="409" t="s">
        <v>221</v>
      </c>
      <c r="T173" s="417" t="s">
        <v>67</v>
      </c>
      <c r="U173" s="409" t="str">
        <f t="shared" si="5"/>
        <v>2020</v>
      </c>
      <c r="AA173" s="410"/>
      <c r="AD173" s="418"/>
    </row>
    <row r="174" spans="1:30" s="409" customFormat="1" ht="14.1" customHeight="1">
      <c r="A174" s="410">
        <v>44930</v>
      </c>
      <c r="B174" s="409" t="s">
        <v>318</v>
      </c>
      <c r="C174" s="411" t="s">
        <v>230</v>
      </c>
      <c r="D174" s="413" t="s">
        <v>910</v>
      </c>
      <c r="E174" s="411">
        <v>4</v>
      </c>
      <c r="F174" s="411" t="s">
        <v>366</v>
      </c>
      <c r="G174" s="412" t="s">
        <v>909</v>
      </c>
      <c r="H174" s="410">
        <v>44134</v>
      </c>
      <c r="I174" s="409" t="s">
        <v>221</v>
      </c>
      <c r="J174" s="409" t="s">
        <v>221</v>
      </c>
      <c r="K174" s="409">
        <v>1</v>
      </c>
      <c r="L174" s="411" t="s">
        <v>220</v>
      </c>
      <c r="M174" s="411"/>
      <c r="N174" s="415">
        <v>3</v>
      </c>
      <c r="O174" s="416"/>
      <c r="P174" s="422">
        <f t="shared" si="4"/>
        <v>0</v>
      </c>
      <c r="Q174" s="416" t="s">
        <v>220</v>
      </c>
      <c r="R174" s="409" t="s">
        <v>221</v>
      </c>
      <c r="S174" s="409" t="s">
        <v>221</v>
      </c>
      <c r="T174" s="417" t="s">
        <v>67</v>
      </c>
      <c r="U174" s="409" t="str">
        <f t="shared" si="5"/>
        <v>2020</v>
      </c>
      <c r="AA174" s="410"/>
      <c r="AD174" s="418"/>
    </row>
    <row r="175" spans="1:30" s="409" customFormat="1" ht="14.1" customHeight="1">
      <c r="A175" s="410">
        <v>44943</v>
      </c>
      <c r="B175" s="409" t="s">
        <v>323</v>
      </c>
      <c r="C175" s="411" t="s">
        <v>911</v>
      </c>
      <c r="D175" s="413" t="s">
        <v>913</v>
      </c>
      <c r="E175" s="411">
        <v>10</v>
      </c>
      <c r="F175" s="411" t="s">
        <v>343</v>
      </c>
      <c r="G175" s="412" t="s">
        <v>912</v>
      </c>
      <c r="H175" s="410">
        <v>44156</v>
      </c>
      <c r="I175" s="409" t="s">
        <v>221</v>
      </c>
      <c r="J175" s="409" t="s">
        <v>221</v>
      </c>
      <c r="K175" s="409">
        <v>1</v>
      </c>
      <c r="L175" s="411" t="s">
        <v>220</v>
      </c>
      <c r="M175" s="411"/>
      <c r="N175" s="415">
        <v>3</v>
      </c>
      <c r="O175" s="416"/>
      <c r="P175" s="422">
        <f t="shared" si="4"/>
        <v>0</v>
      </c>
      <c r="Q175" s="416" t="s">
        <v>220</v>
      </c>
      <c r="R175" s="409" t="s">
        <v>221</v>
      </c>
      <c r="S175" s="409" t="s">
        <v>221</v>
      </c>
      <c r="T175" s="417" t="s">
        <v>67</v>
      </c>
      <c r="U175" s="409" t="str">
        <f t="shared" si="5"/>
        <v>2020</v>
      </c>
      <c r="AA175" s="410"/>
      <c r="AD175" s="418"/>
    </row>
    <row r="176" spans="1:30" s="409" customFormat="1" ht="14.1" customHeight="1">
      <c r="A176" s="410">
        <v>44943</v>
      </c>
      <c r="B176" s="409" t="s">
        <v>318</v>
      </c>
      <c r="C176" s="411" t="s">
        <v>914</v>
      </c>
      <c r="D176" s="413" t="s">
        <v>916</v>
      </c>
      <c r="E176" s="411">
        <v>10</v>
      </c>
      <c r="F176" s="411" t="s">
        <v>343</v>
      </c>
      <c r="G176" s="412" t="s">
        <v>915</v>
      </c>
      <c r="H176" s="410">
        <v>44138</v>
      </c>
      <c r="I176" s="409" t="s">
        <v>221</v>
      </c>
      <c r="J176" s="409" t="s">
        <v>221</v>
      </c>
      <c r="K176" s="409">
        <v>1</v>
      </c>
      <c r="L176" s="411" t="s">
        <v>221</v>
      </c>
      <c r="M176" s="411" t="s">
        <v>917</v>
      </c>
      <c r="N176" s="415">
        <v>3</v>
      </c>
      <c r="O176" s="416">
        <f>0.1+0.1</f>
        <v>0.2</v>
      </c>
      <c r="P176" s="422">
        <f t="shared" si="4"/>
        <v>6.25E-2</v>
      </c>
      <c r="Q176" s="416" t="s">
        <v>220</v>
      </c>
      <c r="R176" s="409" t="s">
        <v>221</v>
      </c>
      <c r="S176" s="409" t="s">
        <v>221</v>
      </c>
      <c r="T176" s="417" t="s">
        <v>67</v>
      </c>
      <c r="U176" s="409" t="str">
        <f t="shared" si="5"/>
        <v>2020</v>
      </c>
      <c r="AA176" s="410"/>
      <c r="AD176" s="418"/>
    </row>
    <row r="177" spans="1:30" s="409" customFormat="1" ht="14.1" customHeight="1">
      <c r="A177" s="410">
        <v>44939</v>
      </c>
      <c r="B177" s="409" t="s">
        <v>323</v>
      </c>
      <c r="C177" s="411" t="s">
        <v>918</v>
      </c>
      <c r="D177" s="413" t="s">
        <v>920</v>
      </c>
      <c r="E177" s="411">
        <v>5</v>
      </c>
      <c r="F177" s="411" t="s">
        <v>444</v>
      </c>
      <c r="G177" s="412" t="s">
        <v>919</v>
      </c>
      <c r="H177" s="410">
        <v>44137</v>
      </c>
      <c r="I177" s="409" t="s">
        <v>221</v>
      </c>
      <c r="J177" s="409" t="s">
        <v>221</v>
      </c>
      <c r="K177" s="409">
        <v>1</v>
      </c>
      <c r="L177" s="411" t="s">
        <v>221</v>
      </c>
      <c r="M177" s="411" t="s">
        <v>222</v>
      </c>
      <c r="N177" s="415">
        <v>3</v>
      </c>
      <c r="O177" s="416">
        <v>1</v>
      </c>
      <c r="P177" s="422">
        <f t="shared" si="4"/>
        <v>0.25</v>
      </c>
      <c r="Q177" s="416" t="s">
        <v>220</v>
      </c>
      <c r="R177" s="409" t="s">
        <v>221</v>
      </c>
      <c r="S177" s="409" t="s">
        <v>221</v>
      </c>
      <c r="T177" s="417" t="s">
        <v>67</v>
      </c>
      <c r="U177" s="409" t="str">
        <f t="shared" si="5"/>
        <v>2020</v>
      </c>
      <c r="AA177" s="410"/>
      <c r="AD177" s="418"/>
    </row>
    <row r="178" spans="1:30" s="409" customFormat="1" ht="14.1" customHeight="1">
      <c r="A178" s="410">
        <v>44942</v>
      </c>
      <c r="B178" s="409" t="s">
        <v>328</v>
      </c>
      <c r="C178" s="411" t="s">
        <v>921</v>
      </c>
      <c r="D178" s="413" t="s">
        <v>923</v>
      </c>
      <c r="E178" s="411">
        <v>3</v>
      </c>
      <c r="F178" s="411" t="s">
        <v>320</v>
      </c>
      <c r="G178" s="412" t="s">
        <v>922</v>
      </c>
      <c r="H178" s="410">
        <v>44139</v>
      </c>
      <c r="I178" s="409" t="s">
        <v>221</v>
      </c>
      <c r="J178" s="409" t="s">
        <v>221</v>
      </c>
      <c r="K178" s="409">
        <v>1</v>
      </c>
      <c r="L178" s="411" t="s">
        <v>221</v>
      </c>
      <c r="M178" s="411" t="s">
        <v>224</v>
      </c>
      <c r="N178" s="415">
        <v>3</v>
      </c>
      <c r="O178" s="416">
        <f>1/7</f>
        <v>0.14285714285714285</v>
      </c>
      <c r="P178" s="422">
        <f t="shared" si="4"/>
        <v>4.5454545454545456E-2</v>
      </c>
      <c r="Q178" s="416" t="s">
        <v>220</v>
      </c>
      <c r="R178" s="409" t="s">
        <v>221</v>
      </c>
      <c r="S178" s="409" t="s">
        <v>221</v>
      </c>
      <c r="T178" s="417" t="s">
        <v>67</v>
      </c>
      <c r="U178" s="409" t="str">
        <f t="shared" si="5"/>
        <v>2020</v>
      </c>
      <c r="AA178" s="410"/>
      <c r="AD178" s="418"/>
    </row>
    <row r="179" spans="1:30" s="409" customFormat="1" ht="14.1" customHeight="1">
      <c r="A179" s="410">
        <v>44933</v>
      </c>
      <c r="B179" s="409" t="s">
        <v>328</v>
      </c>
      <c r="C179" s="411" t="s">
        <v>924</v>
      </c>
      <c r="D179" s="413" t="s">
        <v>926</v>
      </c>
      <c r="E179" s="411">
        <v>10</v>
      </c>
      <c r="F179" s="411" t="s">
        <v>599</v>
      </c>
      <c r="G179" s="412" t="s">
        <v>925</v>
      </c>
      <c r="H179" s="410">
        <v>44250</v>
      </c>
      <c r="I179" s="409" t="s">
        <v>220</v>
      </c>
      <c r="J179" s="409" t="s">
        <v>220</v>
      </c>
      <c r="K179" s="409">
        <v>1</v>
      </c>
      <c r="L179" s="411" t="s">
        <v>221</v>
      </c>
      <c r="M179" s="411" t="s">
        <v>222</v>
      </c>
      <c r="N179" s="415">
        <v>0</v>
      </c>
      <c r="O179" s="416">
        <f>1/7</f>
        <v>0.14285714285714285</v>
      </c>
      <c r="P179" s="422">
        <f t="shared" si="4"/>
        <v>1</v>
      </c>
      <c r="Q179" s="416" t="s">
        <v>220</v>
      </c>
      <c r="R179" s="409" t="s">
        <v>220</v>
      </c>
      <c r="S179" s="409" t="s">
        <v>220</v>
      </c>
      <c r="T179" s="417" t="s">
        <v>334</v>
      </c>
      <c r="U179" s="409" t="str">
        <f t="shared" si="5"/>
        <v>2020</v>
      </c>
      <c r="AA179" s="410"/>
      <c r="AD179" s="418"/>
    </row>
    <row r="180" spans="1:30" s="409" customFormat="1" ht="14.1" customHeight="1">
      <c r="A180" s="410">
        <v>44930</v>
      </c>
      <c r="B180" s="409" t="s">
        <v>318</v>
      </c>
      <c r="C180" s="411" t="s">
        <v>927</v>
      </c>
      <c r="D180" s="413" t="s">
        <v>929</v>
      </c>
      <c r="E180" s="411">
        <v>11</v>
      </c>
      <c r="F180" s="411" t="s">
        <v>366</v>
      </c>
      <c r="G180" s="412" t="s">
        <v>928</v>
      </c>
      <c r="H180" s="410">
        <v>44205</v>
      </c>
      <c r="I180" s="409" t="s">
        <v>221</v>
      </c>
      <c r="J180" s="409" t="s">
        <v>221</v>
      </c>
      <c r="K180" s="409">
        <v>1</v>
      </c>
      <c r="L180" s="411" t="s">
        <v>221</v>
      </c>
      <c r="M180" s="411" t="s">
        <v>224</v>
      </c>
      <c r="N180" s="415">
        <v>2</v>
      </c>
      <c r="O180" s="416">
        <v>1</v>
      </c>
      <c r="P180" s="422">
        <f t="shared" si="4"/>
        <v>0.33333333333333331</v>
      </c>
      <c r="Q180" s="416" t="s">
        <v>220</v>
      </c>
      <c r="R180" s="409" t="s">
        <v>221</v>
      </c>
      <c r="S180" s="409" t="s">
        <v>221</v>
      </c>
      <c r="T180" s="417" t="s">
        <v>930</v>
      </c>
      <c r="U180" s="409" t="str">
        <f t="shared" si="5"/>
        <v>2020</v>
      </c>
      <c r="AA180" s="410"/>
      <c r="AD180" s="418"/>
    </row>
    <row r="181" spans="1:30" s="409" customFormat="1" ht="14.1" customHeight="1">
      <c r="A181" s="410">
        <v>44932</v>
      </c>
      <c r="B181" s="409" t="s">
        <v>328</v>
      </c>
      <c r="C181" s="411" t="s">
        <v>931</v>
      </c>
      <c r="D181" s="413" t="s">
        <v>933</v>
      </c>
      <c r="E181" s="411">
        <v>7</v>
      </c>
      <c r="F181" s="411" t="s">
        <v>452</v>
      </c>
      <c r="G181" s="412" t="s">
        <v>932</v>
      </c>
      <c r="H181" s="410">
        <v>44054</v>
      </c>
      <c r="I181" s="409" t="s">
        <v>221</v>
      </c>
      <c r="J181" s="409" t="s">
        <v>221</v>
      </c>
      <c r="K181" s="409">
        <v>2</v>
      </c>
      <c r="L181" s="411" t="s">
        <v>221</v>
      </c>
      <c r="M181" s="411" t="s">
        <v>222</v>
      </c>
      <c r="N181" s="415">
        <v>2</v>
      </c>
      <c r="O181" s="416">
        <v>1</v>
      </c>
      <c r="P181" s="422">
        <f t="shared" si="4"/>
        <v>0.33333333333333331</v>
      </c>
      <c r="Q181" s="416" t="s">
        <v>220</v>
      </c>
      <c r="R181" s="409" t="s">
        <v>221</v>
      </c>
      <c r="S181" s="409" t="s">
        <v>221</v>
      </c>
      <c r="T181" s="417" t="s">
        <v>67</v>
      </c>
      <c r="U181" s="409" t="str">
        <f t="shared" si="5"/>
        <v>2020</v>
      </c>
      <c r="AA181" s="410"/>
      <c r="AD181" s="418"/>
    </row>
    <row r="182" spans="1:30" s="409" customFormat="1" ht="14.1" customHeight="1">
      <c r="A182" s="410">
        <v>44943</v>
      </c>
      <c r="B182" s="409" t="s">
        <v>318</v>
      </c>
      <c r="C182" s="411" t="s">
        <v>934</v>
      </c>
      <c r="D182" s="413" t="s">
        <v>936</v>
      </c>
      <c r="E182" s="411">
        <v>7</v>
      </c>
      <c r="F182" s="411" t="s">
        <v>343</v>
      </c>
      <c r="G182" s="412" t="s">
        <v>935</v>
      </c>
      <c r="H182" s="410">
        <v>44062</v>
      </c>
      <c r="I182" s="409" t="s">
        <v>221</v>
      </c>
      <c r="J182" s="409" t="s">
        <v>221</v>
      </c>
      <c r="K182" s="409">
        <v>1</v>
      </c>
      <c r="L182" s="411" t="s">
        <v>221</v>
      </c>
      <c r="M182" s="411" t="s">
        <v>224</v>
      </c>
      <c r="N182" s="415">
        <v>3</v>
      </c>
      <c r="O182" s="416">
        <v>1</v>
      </c>
      <c r="P182" s="422">
        <f t="shared" si="4"/>
        <v>0.25</v>
      </c>
      <c r="Q182" s="416" t="s">
        <v>220</v>
      </c>
      <c r="R182" s="409" t="s">
        <v>221</v>
      </c>
      <c r="S182" s="409" t="s">
        <v>221</v>
      </c>
      <c r="T182" s="417" t="s">
        <v>67</v>
      </c>
      <c r="U182" s="409" t="str">
        <f t="shared" si="5"/>
        <v>2020</v>
      </c>
      <c r="AA182" s="410"/>
      <c r="AD182" s="418"/>
    </row>
    <row r="183" spans="1:30" s="409" customFormat="1" ht="14.1" customHeight="1">
      <c r="A183" s="410">
        <v>44931</v>
      </c>
      <c r="B183" s="409" t="s">
        <v>328</v>
      </c>
      <c r="C183" s="411" t="s">
        <v>937</v>
      </c>
      <c r="D183" s="413" t="s">
        <v>939</v>
      </c>
      <c r="E183" s="411">
        <v>4</v>
      </c>
      <c r="F183" s="411" t="s">
        <v>412</v>
      </c>
      <c r="G183" s="412" t="s">
        <v>938</v>
      </c>
      <c r="H183" s="410">
        <v>44310</v>
      </c>
      <c r="I183" s="409" t="s">
        <v>221</v>
      </c>
      <c r="J183" s="409" t="s">
        <v>221</v>
      </c>
      <c r="K183" s="409">
        <v>1</v>
      </c>
      <c r="L183" s="411" t="s">
        <v>221</v>
      </c>
      <c r="M183" s="411" t="s">
        <v>224</v>
      </c>
      <c r="N183" s="415">
        <v>3</v>
      </c>
      <c r="O183" s="416">
        <f>1/7</f>
        <v>0.14285714285714285</v>
      </c>
      <c r="P183" s="422">
        <f t="shared" si="4"/>
        <v>4.5454545454545456E-2</v>
      </c>
      <c r="Q183" s="416" t="s">
        <v>220</v>
      </c>
      <c r="R183" s="409" t="s">
        <v>221</v>
      </c>
      <c r="S183" s="409" t="s">
        <v>221</v>
      </c>
      <c r="T183" s="417" t="s">
        <v>67</v>
      </c>
      <c r="U183" s="409" t="str">
        <f t="shared" si="5"/>
        <v>2020</v>
      </c>
      <c r="AA183" s="410"/>
      <c r="AD183" s="418"/>
    </row>
    <row r="184" spans="1:30" s="409" customFormat="1" ht="14.1" customHeight="1">
      <c r="A184" s="410">
        <v>44942</v>
      </c>
      <c r="B184" s="409" t="s">
        <v>328</v>
      </c>
      <c r="C184" s="411" t="s">
        <v>940</v>
      </c>
      <c r="D184" s="413" t="s">
        <v>942</v>
      </c>
      <c r="E184" s="411">
        <v>8</v>
      </c>
      <c r="F184" s="411" t="s">
        <v>320</v>
      </c>
      <c r="G184" s="412" t="s">
        <v>941</v>
      </c>
      <c r="H184" s="410">
        <v>44053</v>
      </c>
      <c r="I184" s="409" t="s">
        <v>221</v>
      </c>
      <c r="J184" s="409" t="s">
        <v>221</v>
      </c>
      <c r="K184" s="409">
        <v>1</v>
      </c>
      <c r="L184" s="411" t="s">
        <v>220</v>
      </c>
      <c r="M184" s="411"/>
      <c r="N184" s="415">
        <v>2</v>
      </c>
      <c r="O184" s="416"/>
      <c r="P184" s="422">
        <f t="shared" si="4"/>
        <v>0</v>
      </c>
      <c r="Q184" s="416" t="s">
        <v>220</v>
      </c>
      <c r="R184" s="409" t="s">
        <v>221</v>
      </c>
      <c r="S184" s="409" t="s">
        <v>221</v>
      </c>
      <c r="T184" s="417" t="s">
        <v>67</v>
      </c>
      <c r="U184" s="409" t="str">
        <f t="shared" si="5"/>
        <v>2020</v>
      </c>
      <c r="AA184" s="410"/>
      <c r="AD184" s="418"/>
    </row>
    <row r="185" spans="1:30" s="409" customFormat="1" ht="14.1" customHeight="1">
      <c r="A185" s="410">
        <v>44929</v>
      </c>
      <c r="B185" s="409" t="s">
        <v>318</v>
      </c>
      <c r="C185" s="411" t="s">
        <v>943</v>
      </c>
      <c r="D185" s="413" t="s">
        <v>946</v>
      </c>
      <c r="E185" s="411">
        <v>4</v>
      </c>
      <c r="F185" s="411" t="s">
        <v>944</v>
      </c>
      <c r="G185" s="412" t="s">
        <v>945</v>
      </c>
      <c r="H185" s="410">
        <v>44256</v>
      </c>
      <c r="I185" s="409" t="s">
        <v>221</v>
      </c>
      <c r="J185" s="409" t="s">
        <v>221</v>
      </c>
      <c r="K185" s="409">
        <v>1</v>
      </c>
      <c r="L185" s="411" t="s">
        <v>221</v>
      </c>
      <c r="M185" s="411" t="s">
        <v>428</v>
      </c>
      <c r="N185" s="415">
        <v>2</v>
      </c>
      <c r="O185" s="416">
        <f>1+0.1</f>
        <v>1.1000000000000001</v>
      </c>
      <c r="P185" s="422">
        <f t="shared" si="4"/>
        <v>0.35483870967741937</v>
      </c>
      <c r="Q185" s="416" t="s">
        <v>220</v>
      </c>
      <c r="R185" s="409" t="s">
        <v>221</v>
      </c>
      <c r="S185" s="409" t="s">
        <v>221</v>
      </c>
      <c r="T185" s="417" t="s">
        <v>947</v>
      </c>
      <c r="U185" s="409" t="str">
        <f t="shared" si="5"/>
        <v>2020</v>
      </c>
      <c r="AA185" s="410"/>
      <c r="AD185" s="418"/>
    </row>
    <row r="186" spans="1:30" s="409" customFormat="1" ht="14.1" customHeight="1">
      <c r="A186" s="410">
        <v>44940</v>
      </c>
      <c r="B186" s="409" t="s">
        <v>338</v>
      </c>
      <c r="C186" s="411" t="s">
        <v>948</v>
      </c>
      <c r="D186" s="413" t="s">
        <v>950</v>
      </c>
      <c r="E186" s="411">
        <v>6</v>
      </c>
      <c r="F186" s="411" t="s">
        <v>330</v>
      </c>
      <c r="G186" s="412" t="s">
        <v>949</v>
      </c>
      <c r="H186" s="410">
        <v>44264</v>
      </c>
      <c r="I186" s="409" t="s">
        <v>221</v>
      </c>
      <c r="J186" s="409" t="s">
        <v>221</v>
      </c>
      <c r="K186" s="409">
        <v>1</v>
      </c>
      <c r="L186" s="411" t="s">
        <v>221</v>
      </c>
      <c r="M186" s="411" t="s">
        <v>333</v>
      </c>
      <c r="N186" s="415">
        <v>2</v>
      </c>
      <c r="O186" s="416">
        <v>1</v>
      </c>
      <c r="P186" s="422">
        <f t="shared" si="4"/>
        <v>0.33333333333333331</v>
      </c>
      <c r="Q186" s="416" t="s">
        <v>220</v>
      </c>
      <c r="R186" s="409" t="s">
        <v>221</v>
      </c>
      <c r="S186" s="409" t="s">
        <v>221</v>
      </c>
      <c r="T186" s="417" t="s">
        <v>951</v>
      </c>
      <c r="U186" s="409" t="str">
        <f t="shared" si="5"/>
        <v>2020</v>
      </c>
      <c r="AA186" s="410"/>
      <c r="AD186" s="418"/>
    </row>
    <row r="187" spans="1:30" s="409" customFormat="1" ht="14.1" customHeight="1">
      <c r="A187" s="410">
        <v>44944</v>
      </c>
      <c r="B187" s="409" t="s">
        <v>338</v>
      </c>
      <c r="C187" s="411" t="s">
        <v>952</v>
      </c>
      <c r="D187" s="413" t="s">
        <v>954</v>
      </c>
      <c r="E187" s="411">
        <v>11</v>
      </c>
      <c r="F187" s="411" t="s">
        <v>751</v>
      </c>
      <c r="G187" s="412" t="s">
        <v>953</v>
      </c>
      <c r="H187" s="410">
        <v>44043</v>
      </c>
      <c r="I187" s="409" t="s">
        <v>221</v>
      </c>
      <c r="J187" s="409" t="s">
        <v>221</v>
      </c>
      <c r="K187" s="409">
        <v>1</v>
      </c>
      <c r="L187" s="411" t="s">
        <v>221</v>
      </c>
      <c r="M187" s="411" t="s">
        <v>548</v>
      </c>
      <c r="N187" s="415">
        <v>3</v>
      </c>
      <c r="O187" s="416">
        <f>1/7</f>
        <v>0.14285714285714285</v>
      </c>
      <c r="P187" s="422">
        <f t="shared" si="4"/>
        <v>4.5454545454545456E-2</v>
      </c>
      <c r="Q187" s="416" t="s">
        <v>220</v>
      </c>
      <c r="R187" s="409" t="s">
        <v>221</v>
      </c>
      <c r="S187" s="409" t="s">
        <v>221</v>
      </c>
      <c r="T187" s="417" t="s">
        <v>67</v>
      </c>
      <c r="U187" s="409" t="str">
        <f t="shared" si="5"/>
        <v>2020</v>
      </c>
      <c r="AA187" s="410"/>
      <c r="AD187" s="418"/>
    </row>
    <row r="188" spans="1:30" s="409" customFormat="1" ht="14.1" customHeight="1">
      <c r="A188" s="410">
        <v>44942</v>
      </c>
      <c r="B188" s="409" t="s">
        <v>318</v>
      </c>
      <c r="C188" s="411" t="s">
        <v>955</v>
      </c>
      <c r="D188" s="413" t="s">
        <v>957</v>
      </c>
      <c r="E188" s="411">
        <v>5</v>
      </c>
      <c r="F188" s="411" t="s">
        <v>320</v>
      </c>
      <c r="G188" s="412" t="s">
        <v>956</v>
      </c>
      <c r="H188" s="410">
        <v>44033</v>
      </c>
      <c r="I188" s="409" t="s">
        <v>220</v>
      </c>
      <c r="J188" s="409" t="s">
        <v>220</v>
      </c>
      <c r="K188" s="409">
        <v>1</v>
      </c>
      <c r="L188" s="411" t="s">
        <v>221</v>
      </c>
      <c r="M188" s="411" t="s">
        <v>222</v>
      </c>
      <c r="N188" s="415">
        <v>0</v>
      </c>
      <c r="O188" s="416">
        <f>1/7</f>
        <v>0.14285714285714285</v>
      </c>
      <c r="P188" s="422">
        <f t="shared" si="4"/>
        <v>1</v>
      </c>
      <c r="Q188" s="416" t="s">
        <v>220</v>
      </c>
      <c r="R188" s="409" t="s">
        <v>220</v>
      </c>
      <c r="S188" s="409" t="s">
        <v>220</v>
      </c>
      <c r="T188" s="417" t="s">
        <v>334</v>
      </c>
      <c r="U188" s="409" t="str">
        <f t="shared" si="5"/>
        <v>2020</v>
      </c>
      <c r="AA188" s="410"/>
      <c r="AD188" s="418"/>
    </row>
    <row r="189" spans="1:30" s="409" customFormat="1" ht="14.1" customHeight="1">
      <c r="A189" s="410">
        <v>44942</v>
      </c>
      <c r="B189" s="409" t="s">
        <v>328</v>
      </c>
      <c r="C189" s="411" t="s">
        <v>958</v>
      </c>
      <c r="D189" s="413" t="s">
        <v>960</v>
      </c>
      <c r="E189" s="411">
        <v>5</v>
      </c>
      <c r="F189" s="411" t="s">
        <v>320</v>
      </c>
      <c r="G189" s="412" t="s">
        <v>959</v>
      </c>
      <c r="H189" s="410">
        <v>44015</v>
      </c>
      <c r="I189" s="409" t="s">
        <v>221</v>
      </c>
      <c r="J189" s="409" t="s">
        <v>221</v>
      </c>
      <c r="K189" s="409">
        <v>1</v>
      </c>
      <c r="L189" s="411" t="s">
        <v>221</v>
      </c>
      <c r="M189" s="411" t="s">
        <v>222</v>
      </c>
      <c r="N189" s="415">
        <v>2</v>
      </c>
      <c r="O189" s="416">
        <v>1</v>
      </c>
      <c r="P189" s="422">
        <f t="shared" si="4"/>
        <v>0.33333333333333331</v>
      </c>
      <c r="Q189" s="416" t="s">
        <v>220</v>
      </c>
      <c r="R189" s="409" t="s">
        <v>221</v>
      </c>
      <c r="S189" s="409" t="s">
        <v>221</v>
      </c>
      <c r="T189" s="417" t="s">
        <v>67</v>
      </c>
      <c r="U189" s="409" t="str">
        <f t="shared" si="5"/>
        <v>2020</v>
      </c>
      <c r="AA189" s="410"/>
      <c r="AD189" s="418"/>
    </row>
    <row r="190" spans="1:30" s="409" customFormat="1" ht="14.1" customHeight="1">
      <c r="A190" s="410">
        <v>44942</v>
      </c>
      <c r="B190" s="409" t="s">
        <v>338</v>
      </c>
      <c r="C190" s="411" t="s">
        <v>961</v>
      </c>
      <c r="D190" s="413" t="s">
        <v>963</v>
      </c>
      <c r="E190" s="411">
        <v>4</v>
      </c>
      <c r="F190" s="411" t="s">
        <v>320</v>
      </c>
      <c r="G190" s="412" t="s">
        <v>962</v>
      </c>
      <c r="H190" s="410">
        <v>44043</v>
      </c>
      <c r="I190" s="409" t="s">
        <v>221</v>
      </c>
      <c r="J190" s="409" t="s">
        <v>221</v>
      </c>
      <c r="K190" s="409">
        <v>1</v>
      </c>
      <c r="L190" s="411" t="s">
        <v>220</v>
      </c>
      <c r="M190" s="411"/>
      <c r="N190" s="415">
        <v>3</v>
      </c>
      <c r="O190" s="416"/>
      <c r="P190" s="422">
        <f t="shared" si="4"/>
        <v>0</v>
      </c>
      <c r="Q190" s="416" t="s">
        <v>220</v>
      </c>
      <c r="R190" s="409" t="s">
        <v>221</v>
      </c>
      <c r="S190" s="409" t="s">
        <v>221</v>
      </c>
      <c r="T190" s="417" t="s">
        <v>67</v>
      </c>
      <c r="U190" s="409" t="str">
        <f t="shared" si="5"/>
        <v>2020</v>
      </c>
      <c r="AA190" s="410"/>
      <c r="AD190" s="418"/>
    </row>
    <row r="191" spans="1:30" s="409" customFormat="1" ht="14.1" customHeight="1">
      <c r="A191" s="410">
        <v>44932</v>
      </c>
      <c r="B191" s="409" t="s">
        <v>323</v>
      </c>
      <c r="C191" s="411" t="s">
        <v>964</v>
      </c>
      <c r="D191" s="413" t="s">
        <v>966</v>
      </c>
      <c r="E191" s="411">
        <v>6</v>
      </c>
      <c r="F191" s="411" t="s">
        <v>325</v>
      </c>
      <c r="G191" s="412" t="s">
        <v>965</v>
      </c>
      <c r="H191" s="410">
        <v>44033</v>
      </c>
      <c r="I191" s="409" t="s">
        <v>221</v>
      </c>
      <c r="J191" s="409" t="s">
        <v>221</v>
      </c>
      <c r="K191" s="409">
        <v>1</v>
      </c>
      <c r="L191" s="411" t="s">
        <v>220</v>
      </c>
      <c r="M191" s="411"/>
      <c r="N191" s="415">
        <v>2</v>
      </c>
      <c r="O191" s="416"/>
      <c r="P191" s="422">
        <f t="shared" si="4"/>
        <v>0</v>
      </c>
      <c r="Q191" s="416" t="s">
        <v>220</v>
      </c>
      <c r="R191" s="409" t="s">
        <v>221</v>
      </c>
      <c r="S191" s="409" t="s">
        <v>221</v>
      </c>
      <c r="T191" s="417" t="s">
        <v>67</v>
      </c>
      <c r="U191" s="409" t="str">
        <f t="shared" si="5"/>
        <v>2020</v>
      </c>
      <c r="AA191" s="410"/>
      <c r="AD191" s="418"/>
    </row>
    <row r="192" spans="1:30" s="409" customFormat="1" ht="14.1" customHeight="1">
      <c r="A192" s="410">
        <v>44935</v>
      </c>
      <c r="B192" s="409" t="s">
        <v>338</v>
      </c>
      <c r="C192" s="411" t="s">
        <v>967</v>
      </c>
      <c r="D192" s="413" t="s">
        <v>969</v>
      </c>
      <c r="E192" s="411">
        <v>8</v>
      </c>
      <c r="F192" s="411" t="s">
        <v>599</v>
      </c>
      <c r="G192" s="412" t="s">
        <v>968</v>
      </c>
      <c r="H192" s="410">
        <v>44287</v>
      </c>
      <c r="I192" s="409" t="s">
        <v>221</v>
      </c>
      <c r="J192" s="409" t="s">
        <v>221</v>
      </c>
      <c r="K192" s="409">
        <v>1</v>
      </c>
      <c r="L192" s="411" t="s">
        <v>221</v>
      </c>
      <c r="M192" s="411" t="s">
        <v>970</v>
      </c>
      <c r="N192" s="415">
        <v>2</v>
      </c>
      <c r="O192" s="416">
        <f>1+0.1</f>
        <v>1.1000000000000001</v>
      </c>
      <c r="P192" s="422">
        <f t="shared" si="4"/>
        <v>0.35483870967741937</v>
      </c>
      <c r="Q192" s="416" t="s">
        <v>220</v>
      </c>
      <c r="R192" s="409" t="s">
        <v>221</v>
      </c>
      <c r="S192" s="409" t="s">
        <v>221</v>
      </c>
      <c r="T192" s="417" t="s">
        <v>67</v>
      </c>
      <c r="U192" s="409" t="str">
        <f t="shared" si="5"/>
        <v>2020</v>
      </c>
      <c r="AA192" s="410"/>
      <c r="AD192" s="418"/>
    </row>
    <row r="193" spans="1:30" s="409" customFormat="1" ht="14.1" customHeight="1">
      <c r="A193" s="410">
        <v>44942</v>
      </c>
      <c r="B193" s="409" t="s">
        <v>338</v>
      </c>
      <c r="C193" s="411" t="s">
        <v>971</v>
      </c>
      <c r="D193" s="413" t="s">
        <v>973</v>
      </c>
      <c r="E193" s="411">
        <v>6</v>
      </c>
      <c r="F193" s="411" t="s">
        <v>320</v>
      </c>
      <c r="G193" s="412" t="s">
        <v>972</v>
      </c>
      <c r="H193" s="410">
        <v>44202</v>
      </c>
      <c r="I193" s="409" t="s">
        <v>221</v>
      </c>
      <c r="J193" s="409" t="s">
        <v>221</v>
      </c>
      <c r="K193" s="409">
        <v>1</v>
      </c>
      <c r="L193" s="411" t="s">
        <v>220</v>
      </c>
      <c r="M193" s="411"/>
      <c r="N193" s="415">
        <v>3</v>
      </c>
      <c r="O193" s="416"/>
      <c r="P193" s="422">
        <f t="shared" si="4"/>
        <v>0</v>
      </c>
      <c r="Q193" s="416" t="s">
        <v>220</v>
      </c>
      <c r="R193" s="409" t="s">
        <v>221</v>
      </c>
      <c r="S193" s="409" t="s">
        <v>221</v>
      </c>
      <c r="T193" s="417" t="s">
        <v>67</v>
      </c>
      <c r="U193" s="409" t="str">
        <f t="shared" si="5"/>
        <v>2020</v>
      </c>
      <c r="AA193" s="410"/>
      <c r="AD193" s="418"/>
    </row>
    <row r="194" spans="1:30" s="409" customFormat="1" ht="14.1" customHeight="1">
      <c r="A194" s="410">
        <v>44942</v>
      </c>
      <c r="B194" s="409" t="s">
        <v>323</v>
      </c>
      <c r="C194" s="411" t="s">
        <v>974</v>
      </c>
      <c r="D194" s="413" t="s">
        <v>976</v>
      </c>
      <c r="E194" s="411">
        <v>5</v>
      </c>
      <c r="F194" s="411" t="s">
        <v>320</v>
      </c>
      <c r="G194" s="412" t="s">
        <v>975</v>
      </c>
      <c r="H194" s="410">
        <v>44314</v>
      </c>
      <c r="I194" s="409" t="s">
        <v>221</v>
      </c>
      <c r="J194" s="409" t="s">
        <v>221</v>
      </c>
      <c r="K194" s="409">
        <v>1</v>
      </c>
      <c r="L194" s="411" t="s">
        <v>221</v>
      </c>
      <c r="M194" s="411" t="s">
        <v>977</v>
      </c>
      <c r="N194" s="415">
        <v>2</v>
      </c>
      <c r="O194" s="416">
        <f>0.1+1</f>
        <v>1.1000000000000001</v>
      </c>
      <c r="P194" s="422">
        <f t="shared" ref="P194:P210" si="6">O194/(O194+N194)</f>
        <v>0.35483870967741937</v>
      </c>
      <c r="Q194" s="416" t="s">
        <v>220</v>
      </c>
      <c r="R194" s="409" t="s">
        <v>221</v>
      </c>
      <c r="S194" s="409" t="s">
        <v>221</v>
      </c>
      <c r="T194" s="417" t="s">
        <v>67</v>
      </c>
      <c r="U194" s="409" t="str">
        <f t="shared" ref="U194:U210" si="7">IF(AND(H194&gt;=$W$1,H194&lt;$X$1),"2018",IF(AND(H194&gt;=$X$1,H194&lt;$Y$1),"2019",IF(H194&gt;=$Y$1,"2020")))</f>
        <v>2020</v>
      </c>
      <c r="AA194" s="410"/>
      <c r="AD194" s="418"/>
    </row>
    <row r="195" spans="1:30" s="409" customFormat="1" ht="14.1" customHeight="1">
      <c r="A195" s="410">
        <v>44931</v>
      </c>
      <c r="B195" s="409" t="s">
        <v>318</v>
      </c>
      <c r="C195" s="411" t="s">
        <v>978</v>
      </c>
      <c r="D195" s="413" t="s">
        <v>980</v>
      </c>
      <c r="E195" s="411">
        <v>3</v>
      </c>
      <c r="F195" s="411" t="s">
        <v>412</v>
      </c>
      <c r="G195" s="412" t="s">
        <v>979</v>
      </c>
      <c r="H195" s="410">
        <v>44284</v>
      </c>
      <c r="I195" s="409" t="s">
        <v>221</v>
      </c>
      <c r="J195" s="409" t="s">
        <v>221</v>
      </c>
      <c r="K195" s="409">
        <v>1</v>
      </c>
      <c r="L195" s="411" t="s">
        <v>221</v>
      </c>
      <c r="M195" s="411" t="s">
        <v>811</v>
      </c>
      <c r="N195" s="415">
        <v>3</v>
      </c>
      <c r="O195" s="416">
        <f>0.1+0.3</f>
        <v>0.4</v>
      </c>
      <c r="P195" s="422">
        <f t="shared" si="6"/>
        <v>0.11764705882352942</v>
      </c>
      <c r="Q195" s="416" t="s">
        <v>220</v>
      </c>
      <c r="R195" s="409" t="s">
        <v>221</v>
      </c>
      <c r="S195" s="409" t="s">
        <v>221</v>
      </c>
      <c r="T195" s="417" t="s">
        <v>67</v>
      </c>
      <c r="U195" s="409" t="str">
        <f t="shared" si="7"/>
        <v>2020</v>
      </c>
      <c r="AA195" s="410"/>
      <c r="AD195" s="418"/>
    </row>
    <row r="196" spans="1:30" s="409" customFormat="1" ht="14.1" customHeight="1">
      <c r="A196" s="410">
        <v>44933</v>
      </c>
      <c r="B196" s="409" t="s">
        <v>328</v>
      </c>
      <c r="C196" s="411" t="s">
        <v>981</v>
      </c>
      <c r="D196" s="413" t="s">
        <v>983</v>
      </c>
      <c r="E196" s="411">
        <v>4</v>
      </c>
      <c r="F196" s="411" t="s">
        <v>466</v>
      </c>
      <c r="G196" s="412" t="s">
        <v>982</v>
      </c>
      <c r="H196" s="410">
        <v>44016</v>
      </c>
      <c r="I196" s="409" t="s">
        <v>221</v>
      </c>
      <c r="J196" s="409" t="s">
        <v>221</v>
      </c>
      <c r="K196" s="409">
        <v>1</v>
      </c>
      <c r="L196" s="411" t="s">
        <v>220</v>
      </c>
      <c r="M196" s="411"/>
      <c r="N196" s="415">
        <v>2</v>
      </c>
      <c r="O196" s="416"/>
      <c r="P196" s="422">
        <f t="shared" si="6"/>
        <v>0</v>
      </c>
      <c r="Q196" s="416" t="s">
        <v>220</v>
      </c>
      <c r="R196" s="409" t="s">
        <v>221</v>
      </c>
      <c r="S196" s="409" t="s">
        <v>221</v>
      </c>
      <c r="T196" s="417" t="s">
        <v>67</v>
      </c>
      <c r="U196" s="409" t="str">
        <f t="shared" si="7"/>
        <v>2020</v>
      </c>
      <c r="AA196" s="410"/>
      <c r="AD196" s="418"/>
    </row>
    <row r="197" spans="1:30" s="409" customFormat="1" ht="14.1" customHeight="1">
      <c r="A197" s="410">
        <v>44930</v>
      </c>
      <c r="B197" s="409" t="s">
        <v>323</v>
      </c>
      <c r="C197" s="411" t="s">
        <v>984</v>
      </c>
      <c r="D197" s="413" t="s">
        <v>986</v>
      </c>
      <c r="E197" s="411">
        <v>5</v>
      </c>
      <c r="F197" s="411" t="s">
        <v>366</v>
      </c>
      <c r="G197" s="412" t="s">
        <v>985</v>
      </c>
      <c r="H197" s="410">
        <v>44034</v>
      </c>
      <c r="I197" s="409" t="s">
        <v>221</v>
      </c>
      <c r="J197" s="409" t="s">
        <v>221</v>
      </c>
      <c r="K197" s="409">
        <v>1</v>
      </c>
      <c r="L197" s="411" t="s">
        <v>220</v>
      </c>
      <c r="M197" s="411"/>
      <c r="N197" s="415">
        <v>2</v>
      </c>
      <c r="O197" s="416"/>
      <c r="P197" s="422">
        <f t="shared" si="6"/>
        <v>0</v>
      </c>
      <c r="Q197" s="416" t="s">
        <v>220</v>
      </c>
      <c r="R197" s="409" t="s">
        <v>221</v>
      </c>
      <c r="S197" s="409" t="s">
        <v>221</v>
      </c>
      <c r="T197" s="417" t="s">
        <v>67</v>
      </c>
      <c r="U197" s="409" t="str">
        <f t="shared" si="7"/>
        <v>2020</v>
      </c>
      <c r="AA197" s="410"/>
      <c r="AD197" s="418"/>
    </row>
    <row r="198" spans="1:30" s="409" customFormat="1" ht="14.1" customHeight="1">
      <c r="A198" s="410">
        <v>44932</v>
      </c>
      <c r="B198" s="409" t="s">
        <v>318</v>
      </c>
      <c r="C198" s="411" t="s">
        <v>987</v>
      </c>
      <c r="D198" s="413" t="s">
        <v>989</v>
      </c>
      <c r="E198" s="411">
        <v>7</v>
      </c>
      <c r="F198" s="411" t="s">
        <v>452</v>
      </c>
      <c r="G198" s="412" t="s">
        <v>988</v>
      </c>
      <c r="H198" s="410">
        <v>44061</v>
      </c>
      <c r="I198" s="409" t="s">
        <v>221</v>
      </c>
      <c r="J198" s="409" t="s">
        <v>221</v>
      </c>
      <c r="K198" s="409">
        <v>1</v>
      </c>
      <c r="L198" s="411" t="s">
        <v>220</v>
      </c>
      <c r="M198" s="411"/>
      <c r="N198" s="415">
        <v>2</v>
      </c>
      <c r="O198" s="416"/>
      <c r="P198" s="422">
        <f t="shared" si="6"/>
        <v>0</v>
      </c>
      <c r="Q198" s="416" t="s">
        <v>220</v>
      </c>
      <c r="R198" s="409" t="s">
        <v>221</v>
      </c>
      <c r="S198" s="409" t="s">
        <v>221</v>
      </c>
      <c r="T198" s="417" t="s">
        <v>67</v>
      </c>
      <c r="U198" s="409" t="str">
        <f t="shared" si="7"/>
        <v>2020</v>
      </c>
      <c r="AA198" s="410"/>
      <c r="AD198" s="418"/>
    </row>
    <row r="199" spans="1:30" s="409" customFormat="1" ht="14.1" customHeight="1">
      <c r="A199" s="410">
        <v>44932</v>
      </c>
      <c r="B199" s="409" t="s">
        <v>318</v>
      </c>
      <c r="C199" s="411" t="s">
        <v>990</v>
      </c>
      <c r="D199" s="413" t="s">
        <v>992</v>
      </c>
      <c r="E199" s="411">
        <v>10</v>
      </c>
      <c r="F199" s="411" t="s">
        <v>452</v>
      </c>
      <c r="G199" s="412" t="s">
        <v>991</v>
      </c>
      <c r="H199" s="410">
        <v>44014</v>
      </c>
      <c r="I199" s="409" t="s">
        <v>221</v>
      </c>
      <c r="J199" s="409" t="s">
        <v>221</v>
      </c>
      <c r="K199" s="409">
        <v>1</v>
      </c>
      <c r="L199" s="411" t="s">
        <v>220</v>
      </c>
      <c r="M199" s="411"/>
      <c r="N199" s="415">
        <v>2</v>
      </c>
      <c r="O199" s="416"/>
      <c r="P199" s="422">
        <f t="shared" si="6"/>
        <v>0</v>
      </c>
      <c r="Q199" s="416" t="s">
        <v>220</v>
      </c>
      <c r="R199" s="409" t="s">
        <v>221</v>
      </c>
      <c r="S199" s="409" t="s">
        <v>221</v>
      </c>
      <c r="T199" s="417" t="s">
        <v>67</v>
      </c>
      <c r="U199" s="409" t="str">
        <f t="shared" si="7"/>
        <v>2020</v>
      </c>
      <c r="AA199" s="410"/>
      <c r="AD199" s="418"/>
    </row>
    <row r="200" spans="1:30" s="409" customFormat="1" ht="14.1" customHeight="1">
      <c r="A200" s="410">
        <v>44938</v>
      </c>
      <c r="B200" s="409" t="s">
        <v>323</v>
      </c>
      <c r="C200" s="411" t="s">
        <v>993</v>
      </c>
      <c r="D200" s="413" t="s">
        <v>995</v>
      </c>
      <c r="E200" s="411">
        <v>8</v>
      </c>
      <c r="F200" s="411" t="s">
        <v>434</v>
      </c>
      <c r="G200" s="412" t="s">
        <v>994</v>
      </c>
      <c r="H200" s="410">
        <v>44270</v>
      </c>
      <c r="I200" s="409" t="s">
        <v>221</v>
      </c>
      <c r="J200" s="409" t="s">
        <v>221</v>
      </c>
      <c r="K200" s="409">
        <v>2</v>
      </c>
      <c r="L200" s="411" t="s">
        <v>221</v>
      </c>
      <c r="M200" s="411" t="s">
        <v>996</v>
      </c>
      <c r="N200" s="415">
        <v>3</v>
      </c>
      <c r="O200" s="416">
        <v>1</v>
      </c>
      <c r="P200" s="422">
        <f t="shared" si="6"/>
        <v>0.25</v>
      </c>
      <c r="Q200" s="416" t="s">
        <v>220</v>
      </c>
      <c r="R200" s="409" t="s">
        <v>221</v>
      </c>
      <c r="S200" s="409" t="s">
        <v>221</v>
      </c>
      <c r="T200" s="417" t="s">
        <v>67</v>
      </c>
      <c r="U200" s="409" t="str">
        <f t="shared" si="7"/>
        <v>2020</v>
      </c>
      <c r="AA200" s="410"/>
      <c r="AD200" s="418"/>
    </row>
    <row r="201" spans="1:30" s="409" customFormat="1" ht="14.1" customHeight="1">
      <c r="A201" s="410">
        <v>44929</v>
      </c>
      <c r="B201" s="409" t="s">
        <v>323</v>
      </c>
      <c r="C201" s="411" t="s">
        <v>228</v>
      </c>
      <c r="D201" s="413" t="s">
        <v>998</v>
      </c>
      <c r="E201" s="411">
        <v>7</v>
      </c>
      <c r="F201" s="411" t="s">
        <v>398</v>
      </c>
      <c r="G201" s="412" t="s">
        <v>997</v>
      </c>
      <c r="H201" s="410">
        <v>44283</v>
      </c>
      <c r="I201" s="409" t="s">
        <v>221</v>
      </c>
      <c r="J201" s="409" t="s">
        <v>221</v>
      </c>
      <c r="K201" s="409">
        <v>1</v>
      </c>
      <c r="L201" s="411" t="s">
        <v>220</v>
      </c>
      <c r="M201" s="411"/>
      <c r="N201" s="415">
        <v>3</v>
      </c>
      <c r="O201" s="416"/>
      <c r="P201" s="422">
        <f t="shared" si="6"/>
        <v>0</v>
      </c>
      <c r="Q201" s="416" t="s">
        <v>220</v>
      </c>
      <c r="R201" s="409" t="s">
        <v>221</v>
      </c>
      <c r="S201" s="409" t="s">
        <v>221</v>
      </c>
      <c r="T201" s="417" t="s">
        <v>67</v>
      </c>
      <c r="U201" s="409" t="str">
        <f t="shared" si="7"/>
        <v>2020</v>
      </c>
      <c r="AA201" s="410"/>
      <c r="AD201" s="418"/>
    </row>
    <row r="202" spans="1:30" s="409" customFormat="1" ht="14.1" customHeight="1">
      <c r="A202" s="410">
        <v>44938</v>
      </c>
      <c r="B202" s="409" t="s">
        <v>338</v>
      </c>
      <c r="C202" s="411" t="s">
        <v>999</v>
      </c>
      <c r="D202" s="413" t="s">
        <v>1001</v>
      </c>
      <c r="E202" s="411">
        <v>5</v>
      </c>
      <c r="F202" s="411" t="s">
        <v>347</v>
      </c>
      <c r="G202" s="412" t="s">
        <v>1000</v>
      </c>
      <c r="H202" s="410">
        <v>43899</v>
      </c>
      <c r="I202" s="409" t="s">
        <v>221</v>
      </c>
      <c r="J202" s="409" t="s">
        <v>221</v>
      </c>
      <c r="K202" s="409">
        <v>1</v>
      </c>
      <c r="L202" s="411" t="s">
        <v>221</v>
      </c>
      <c r="M202" s="411" t="s">
        <v>996</v>
      </c>
      <c r="N202" s="415">
        <v>2</v>
      </c>
      <c r="O202" s="416">
        <v>1</v>
      </c>
      <c r="P202" s="422">
        <f t="shared" si="6"/>
        <v>0.33333333333333331</v>
      </c>
      <c r="Q202" s="416" t="s">
        <v>220</v>
      </c>
      <c r="R202" s="409" t="s">
        <v>221</v>
      </c>
      <c r="S202" s="409" t="s">
        <v>221</v>
      </c>
      <c r="T202" s="417" t="s">
        <v>67</v>
      </c>
      <c r="U202" s="409" t="str">
        <f t="shared" si="7"/>
        <v>2019</v>
      </c>
      <c r="AA202" s="410"/>
      <c r="AD202" s="418"/>
    </row>
    <row r="203" spans="1:30" s="409" customFormat="1" ht="14.1" customHeight="1">
      <c r="A203" s="410">
        <v>44943</v>
      </c>
      <c r="B203" s="409" t="s">
        <v>318</v>
      </c>
      <c r="C203" s="411" t="s">
        <v>1002</v>
      </c>
      <c r="D203" s="413" t="s">
        <v>1004</v>
      </c>
      <c r="E203" s="411">
        <v>8</v>
      </c>
      <c r="F203" s="411" t="s">
        <v>343</v>
      </c>
      <c r="G203" s="412" t="s">
        <v>1003</v>
      </c>
      <c r="H203" s="410">
        <v>44208</v>
      </c>
      <c r="I203" s="409" t="s">
        <v>221</v>
      </c>
      <c r="J203" s="409" t="s">
        <v>221</v>
      </c>
      <c r="K203" s="409">
        <v>1</v>
      </c>
      <c r="L203" s="411" t="s">
        <v>221</v>
      </c>
      <c r="M203" s="411" t="s">
        <v>224</v>
      </c>
      <c r="N203" s="415">
        <v>2</v>
      </c>
      <c r="O203" s="416">
        <v>1</v>
      </c>
      <c r="P203" s="422">
        <f t="shared" si="6"/>
        <v>0.33333333333333331</v>
      </c>
      <c r="Q203" s="416" t="s">
        <v>220</v>
      </c>
      <c r="R203" s="409" t="s">
        <v>221</v>
      </c>
      <c r="S203" s="409" t="s">
        <v>221</v>
      </c>
      <c r="T203" s="417" t="s">
        <v>67</v>
      </c>
      <c r="U203" s="409" t="str">
        <f t="shared" si="7"/>
        <v>2020</v>
      </c>
      <c r="AA203" s="410"/>
      <c r="AD203" s="418"/>
    </row>
    <row r="204" spans="1:30" s="409" customFormat="1" ht="14.1" customHeight="1">
      <c r="A204" s="410">
        <v>44929</v>
      </c>
      <c r="B204" s="409" t="s">
        <v>323</v>
      </c>
      <c r="C204" s="411" t="s">
        <v>1005</v>
      </c>
      <c r="D204" s="413" t="s">
        <v>1007</v>
      </c>
      <c r="E204" s="411">
        <v>5</v>
      </c>
      <c r="F204" s="411" t="s">
        <v>398</v>
      </c>
      <c r="G204" s="412" t="s">
        <v>1006</v>
      </c>
      <c r="H204" s="410">
        <v>44105</v>
      </c>
      <c r="I204" s="409" t="s">
        <v>221</v>
      </c>
      <c r="J204" s="409" t="s">
        <v>221</v>
      </c>
      <c r="K204" s="409">
        <v>1</v>
      </c>
      <c r="L204" s="411" t="s">
        <v>221</v>
      </c>
      <c r="M204" s="411" t="s">
        <v>224</v>
      </c>
      <c r="N204" s="415">
        <v>2</v>
      </c>
      <c r="O204" s="416">
        <f>1/7</f>
        <v>0.14285714285714285</v>
      </c>
      <c r="P204" s="422">
        <f t="shared" si="6"/>
        <v>6.6666666666666666E-2</v>
      </c>
      <c r="Q204" s="416" t="s">
        <v>220</v>
      </c>
      <c r="R204" s="409" t="s">
        <v>221</v>
      </c>
      <c r="S204" s="409" t="s">
        <v>221</v>
      </c>
      <c r="T204" s="417" t="s">
        <v>67</v>
      </c>
      <c r="U204" s="409" t="str">
        <f t="shared" si="7"/>
        <v>2020</v>
      </c>
      <c r="AA204" s="410"/>
      <c r="AD204" s="418"/>
    </row>
    <row r="205" spans="1:30" s="409" customFormat="1" ht="14.1" customHeight="1">
      <c r="A205" s="410">
        <v>44937</v>
      </c>
      <c r="B205" s="409" t="s">
        <v>323</v>
      </c>
      <c r="C205" s="411" t="s">
        <v>1008</v>
      </c>
      <c r="D205" s="413" t="s">
        <v>1010</v>
      </c>
      <c r="E205" s="411">
        <v>5</v>
      </c>
      <c r="F205" s="411" t="s">
        <v>356</v>
      </c>
      <c r="G205" s="412" t="s">
        <v>1009</v>
      </c>
      <c r="H205" s="410">
        <v>44135</v>
      </c>
      <c r="I205" s="409" t="s">
        <v>221</v>
      </c>
      <c r="J205" s="409" t="s">
        <v>221</v>
      </c>
      <c r="K205" s="409">
        <v>1</v>
      </c>
      <c r="L205" s="411" t="s">
        <v>220</v>
      </c>
      <c r="M205" s="411"/>
      <c r="N205" s="415">
        <v>2</v>
      </c>
      <c r="O205" s="416"/>
      <c r="P205" s="422">
        <f t="shared" si="6"/>
        <v>0</v>
      </c>
      <c r="Q205" s="416" t="s">
        <v>220</v>
      </c>
      <c r="R205" s="409" t="s">
        <v>221</v>
      </c>
      <c r="S205" s="409" t="s">
        <v>221</v>
      </c>
      <c r="T205" s="417" t="s">
        <v>67</v>
      </c>
      <c r="U205" s="409" t="str">
        <f t="shared" si="7"/>
        <v>2020</v>
      </c>
      <c r="AA205" s="410"/>
      <c r="AD205" s="418"/>
    </row>
    <row r="206" spans="1:30" s="409" customFormat="1" ht="14.1" customHeight="1">
      <c r="A206" s="410">
        <v>44932</v>
      </c>
      <c r="B206" s="409" t="s">
        <v>328</v>
      </c>
      <c r="C206" s="411" t="s">
        <v>1011</v>
      </c>
      <c r="D206" s="413" t="s">
        <v>1013</v>
      </c>
      <c r="E206" s="411">
        <v>6</v>
      </c>
      <c r="F206" s="411" t="s">
        <v>448</v>
      </c>
      <c r="G206" s="412" t="s">
        <v>1012</v>
      </c>
      <c r="H206" s="410">
        <v>43994</v>
      </c>
      <c r="I206" s="409" t="s">
        <v>221</v>
      </c>
      <c r="J206" s="409" t="s">
        <v>221</v>
      </c>
      <c r="K206" s="409">
        <v>1</v>
      </c>
      <c r="L206" s="411" t="s">
        <v>221</v>
      </c>
      <c r="M206" s="411" t="s">
        <v>224</v>
      </c>
      <c r="N206" s="415">
        <v>2</v>
      </c>
      <c r="O206" s="416">
        <v>1</v>
      </c>
      <c r="P206" s="422">
        <f t="shared" si="6"/>
        <v>0.33333333333333331</v>
      </c>
      <c r="Q206" s="416" t="s">
        <v>220</v>
      </c>
      <c r="R206" s="409" t="s">
        <v>221</v>
      </c>
      <c r="S206" s="409" t="s">
        <v>221</v>
      </c>
      <c r="T206" s="417" t="s">
        <v>67</v>
      </c>
      <c r="U206" s="409" t="str">
        <f t="shared" si="7"/>
        <v>2020</v>
      </c>
      <c r="AA206" s="410"/>
      <c r="AD206" s="418"/>
    </row>
    <row r="207" spans="1:30" s="409" customFormat="1" ht="14.1" customHeight="1">
      <c r="A207" s="410">
        <v>44933</v>
      </c>
      <c r="B207" s="409" t="s">
        <v>338</v>
      </c>
      <c r="C207" s="411" t="s">
        <v>1014</v>
      </c>
      <c r="D207" s="413" t="s">
        <v>1016</v>
      </c>
      <c r="E207" s="411">
        <v>3</v>
      </c>
      <c r="F207" s="411" t="s">
        <v>385</v>
      </c>
      <c r="G207" s="412" t="s">
        <v>1015</v>
      </c>
      <c r="H207" s="410">
        <v>44001</v>
      </c>
      <c r="I207" s="409" t="s">
        <v>221</v>
      </c>
      <c r="J207" s="409" t="s">
        <v>221</v>
      </c>
      <c r="K207" s="409">
        <v>1</v>
      </c>
      <c r="L207" s="411" t="s">
        <v>221</v>
      </c>
      <c r="M207" s="411" t="s">
        <v>1017</v>
      </c>
      <c r="N207" s="415">
        <v>3</v>
      </c>
      <c r="O207" s="416">
        <f>1.1</f>
        <v>1.1000000000000001</v>
      </c>
      <c r="P207" s="422">
        <f t="shared" si="6"/>
        <v>0.26829268292682934</v>
      </c>
      <c r="Q207" s="416" t="s">
        <v>220</v>
      </c>
      <c r="R207" s="409" t="s">
        <v>221</v>
      </c>
      <c r="S207" s="409" t="s">
        <v>221</v>
      </c>
      <c r="T207" s="417" t="s">
        <v>67</v>
      </c>
      <c r="U207" s="409" t="str">
        <f t="shared" si="7"/>
        <v>2020</v>
      </c>
      <c r="AA207" s="410"/>
      <c r="AD207" s="418"/>
    </row>
    <row r="208" spans="1:30" s="409" customFormat="1" ht="14.1" customHeight="1">
      <c r="A208" s="410">
        <v>44944</v>
      </c>
      <c r="B208" s="409" t="s">
        <v>323</v>
      </c>
      <c r="C208" s="411" t="s">
        <v>1018</v>
      </c>
      <c r="D208" s="413" t="s">
        <v>1020</v>
      </c>
      <c r="E208" s="411">
        <v>10</v>
      </c>
      <c r="F208" s="411" t="s">
        <v>751</v>
      </c>
      <c r="G208" s="412" t="s">
        <v>1019</v>
      </c>
      <c r="H208" s="410">
        <v>43997</v>
      </c>
      <c r="I208" s="409" t="s">
        <v>221</v>
      </c>
      <c r="J208" s="409" t="s">
        <v>221</v>
      </c>
      <c r="K208" s="409">
        <v>1</v>
      </c>
      <c r="L208" s="411" t="s">
        <v>221</v>
      </c>
      <c r="M208" s="411" t="s">
        <v>225</v>
      </c>
      <c r="N208" s="415">
        <v>3</v>
      </c>
      <c r="O208" s="416">
        <v>1</v>
      </c>
      <c r="P208" s="422">
        <f t="shared" si="6"/>
        <v>0.25</v>
      </c>
      <c r="Q208" s="416" t="s">
        <v>220</v>
      </c>
      <c r="R208" s="409" t="s">
        <v>221</v>
      </c>
      <c r="S208" s="409" t="s">
        <v>221</v>
      </c>
      <c r="T208" s="417" t="s">
        <v>67</v>
      </c>
      <c r="U208" s="409" t="str">
        <f t="shared" si="7"/>
        <v>2020</v>
      </c>
      <c r="AA208" s="410"/>
      <c r="AD208" s="418"/>
    </row>
    <row r="209" spans="1:30" s="409" customFormat="1" ht="14.1" customHeight="1">
      <c r="A209" s="410">
        <v>44935</v>
      </c>
      <c r="B209" s="409" t="s">
        <v>328</v>
      </c>
      <c r="C209" s="411" t="s">
        <v>1021</v>
      </c>
      <c r="D209" s="413" t="s">
        <v>1023</v>
      </c>
      <c r="E209" s="411">
        <v>2</v>
      </c>
      <c r="F209" s="411" t="s">
        <v>599</v>
      </c>
      <c r="G209" s="412" t="s">
        <v>1022</v>
      </c>
      <c r="H209" s="410">
        <v>44004</v>
      </c>
      <c r="I209" s="409" t="s">
        <v>221</v>
      </c>
      <c r="J209" s="409" t="s">
        <v>221</v>
      </c>
      <c r="K209" s="409">
        <v>1</v>
      </c>
      <c r="L209" s="411" t="s">
        <v>220</v>
      </c>
      <c r="M209" s="411"/>
      <c r="N209" s="415">
        <v>1</v>
      </c>
      <c r="O209" s="416"/>
      <c r="P209" s="422">
        <f t="shared" si="6"/>
        <v>0</v>
      </c>
      <c r="Q209" s="416" t="s">
        <v>220</v>
      </c>
      <c r="R209" s="409" t="s">
        <v>221</v>
      </c>
      <c r="S209" s="409" t="s">
        <v>221</v>
      </c>
      <c r="T209" s="417" t="s">
        <v>67</v>
      </c>
      <c r="U209" s="409" t="str">
        <f t="shared" si="7"/>
        <v>2020</v>
      </c>
      <c r="AA209" s="410"/>
      <c r="AD209" s="418"/>
    </row>
    <row r="210" spans="1:30" s="409" customFormat="1" ht="14.1" customHeight="1">
      <c r="A210" s="410">
        <v>44937</v>
      </c>
      <c r="B210" s="409" t="s">
        <v>328</v>
      </c>
      <c r="C210" s="411" t="s">
        <v>227</v>
      </c>
      <c r="D210" s="413" t="s">
        <v>1025</v>
      </c>
      <c r="E210" s="411">
        <v>6</v>
      </c>
      <c r="F210" s="411" t="s">
        <v>356</v>
      </c>
      <c r="G210" s="412" t="s">
        <v>1024</v>
      </c>
      <c r="H210" s="410">
        <v>44135</v>
      </c>
      <c r="I210" s="409" t="s">
        <v>221</v>
      </c>
      <c r="J210" s="409" t="s">
        <v>221</v>
      </c>
      <c r="K210" s="409">
        <v>1</v>
      </c>
      <c r="L210" s="411" t="s">
        <v>220</v>
      </c>
      <c r="M210" s="411"/>
      <c r="N210" s="415">
        <v>3</v>
      </c>
      <c r="O210" s="416"/>
      <c r="P210" s="422">
        <f t="shared" si="6"/>
        <v>0</v>
      </c>
      <c r="Q210" s="416" t="s">
        <v>220</v>
      </c>
      <c r="R210" s="409" t="s">
        <v>221</v>
      </c>
      <c r="S210" s="409" t="s">
        <v>221</v>
      </c>
      <c r="T210" s="417" t="s">
        <v>67</v>
      </c>
      <c r="U210" s="409" t="str">
        <f t="shared" si="7"/>
        <v>2020</v>
      </c>
      <c r="AA210" s="410"/>
      <c r="AD210" s="418"/>
    </row>
    <row r="211" spans="1:30" s="409" customFormat="1" ht="14.1" customHeight="1">
      <c r="A211" s="410">
        <v>44942</v>
      </c>
      <c r="B211" s="409" t="s">
        <v>318</v>
      </c>
      <c r="C211" s="411" t="s">
        <v>319</v>
      </c>
      <c r="D211" s="413" t="s">
        <v>322</v>
      </c>
      <c r="E211" s="411">
        <v>5</v>
      </c>
      <c r="F211" s="411" t="s">
        <v>320</v>
      </c>
      <c r="G211" s="412" t="s">
        <v>321</v>
      </c>
      <c r="H211" s="410">
        <v>44155</v>
      </c>
      <c r="I211" s="409" t="s">
        <v>221</v>
      </c>
      <c r="J211" s="409" t="s">
        <v>221</v>
      </c>
      <c r="K211" s="409">
        <v>1</v>
      </c>
      <c r="L211" s="411" t="s">
        <v>220</v>
      </c>
      <c r="M211" s="414"/>
      <c r="N211" s="415">
        <v>3</v>
      </c>
      <c r="O211" s="416">
        <v>0</v>
      </c>
      <c r="P211" s="422">
        <f>O211/(O211+N211)</f>
        <v>0</v>
      </c>
      <c r="Q211" s="416" t="s">
        <v>220</v>
      </c>
      <c r="R211" s="409" t="s">
        <v>221</v>
      </c>
      <c r="S211" s="409" t="s">
        <v>221</v>
      </c>
      <c r="T211" s="417" t="s">
        <v>67</v>
      </c>
      <c r="U211" s="409" t="str">
        <f>IF(AND(H211&gt;=$W$1,H211&lt;$X$1),"2018",IF(AND(H211&gt;=$X$1,H211&lt;$Y$1),"2019",IF(H211&gt;=$Y$1,"2020")))</f>
        <v>2020</v>
      </c>
      <c r="AA211" s="410"/>
      <c r="AD211" s="418"/>
    </row>
    <row r="212" spans="1:30" s="409" customFormat="1" ht="14.1" customHeight="1">
      <c r="A212" s="410"/>
      <c r="C212" s="411"/>
      <c r="D212" s="413"/>
      <c r="E212" s="411"/>
      <c r="F212" s="411"/>
      <c r="G212" s="412"/>
      <c r="H212" s="410"/>
      <c r="L212" s="411"/>
      <c r="M212" s="414"/>
      <c r="N212" s="415"/>
      <c r="O212" s="416"/>
      <c r="P212" s="422"/>
      <c r="Q212" s="416"/>
      <c r="T212" s="417"/>
      <c r="AA212" s="410"/>
      <c r="AD212" s="418"/>
    </row>
    <row r="213" spans="1:30" s="409" customFormat="1" ht="14.1" customHeight="1">
      <c r="B213" s="428" t="s">
        <v>1052</v>
      </c>
      <c r="C213" s="429">
        <f>COUNTA(A2:A211)</f>
        <v>210</v>
      </c>
      <c r="D213" s="428" t="s">
        <v>1053</v>
      </c>
      <c r="E213" s="430">
        <f>AVERAGE(E2:E211)</f>
        <v>6.2761904761904761</v>
      </c>
      <c r="F213" s="411"/>
      <c r="G213" s="412"/>
      <c r="H213" s="411"/>
      <c r="I213" s="413"/>
      <c r="J213" s="431">
        <f>COUNTIF(J2:J211,"yes")/C213</f>
        <v>0.93809523809523809</v>
      </c>
      <c r="K213" s="432">
        <f>AVERAGE(K2:K211)</f>
        <v>1.0619047619047619</v>
      </c>
      <c r="N213" s="433">
        <f>AVERAGE(N2:N211)</f>
        <v>2.3496598639455781</v>
      </c>
      <c r="O213" s="434">
        <f>AVERAGE(O2:O211)</f>
        <v>0.79206349206349169</v>
      </c>
      <c r="P213" s="435">
        <f>AVERAGEIF(J2:J211,"yes",P2:P211)</f>
        <v>0.13951261710841237</v>
      </c>
      <c r="Q213" s="416"/>
      <c r="R213" s="436">
        <f>COUNTIFS(R2:R211,"yes")/210</f>
        <v>0.93809523809523809</v>
      </c>
      <c r="S213" s="436">
        <f>COUNTIFS(S2:S211,"yes")/210</f>
        <v>0.93809523809523809</v>
      </c>
      <c r="AA213" s="410"/>
      <c r="AD213" s="418"/>
    </row>
    <row r="214" spans="1:30" s="409" customFormat="1" ht="14.1" customHeight="1" thickBot="1">
      <c r="F214" s="411"/>
      <c r="G214" s="412"/>
      <c r="H214" s="437"/>
      <c r="I214" s="55"/>
      <c r="J214" s="55"/>
      <c r="K214" s="55"/>
      <c r="L214" s="55"/>
      <c r="M214" s="55"/>
      <c r="N214" s="55"/>
      <c r="O214" s="411"/>
      <c r="P214" s="415"/>
      <c r="Q214" s="416"/>
      <c r="R214" s="422"/>
      <c r="S214" s="416"/>
      <c r="AA214" s="410"/>
      <c r="AD214" s="418"/>
    </row>
    <row r="215" spans="1:30" s="409" customFormat="1" ht="14.1" customHeight="1">
      <c r="C215" s="439" t="s">
        <v>1031</v>
      </c>
      <c r="D215" s="440" t="s">
        <v>1032</v>
      </c>
      <c r="F215" s="411"/>
      <c r="G215" s="412"/>
      <c r="H215" s="309" t="s">
        <v>235</v>
      </c>
      <c r="I215" s="310">
        <f>COUNTIF(J2:J211,"yes")/COUNTA(D2:D211)</f>
        <v>0.93809523809523809</v>
      </c>
      <c r="J215" s="546" t="s">
        <v>1054</v>
      </c>
      <c r="K215" s="549" t="s">
        <v>236</v>
      </c>
      <c r="L215" s="550"/>
      <c r="M215" s="310">
        <f>AVERAGEIF(J2:J211,"yes",P2:P211)</f>
        <v>0.13951261710841237</v>
      </c>
      <c r="N215" s="546" t="s">
        <v>1054</v>
      </c>
      <c r="O215" s="411"/>
      <c r="P215" s="415"/>
      <c r="Q215" s="416"/>
      <c r="R215" s="422"/>
      <c r="S215" s="416"/>
      <c r="AA215" s="410"/>
      <c r="AD215" s="418"/>
    </row>
    <row r="216" spans="1:30" s="409" customFormat="1" ht="14.1" customHeight="1">
      <c r="B216" s="438" t="s">
        <v>1028</v>
      </c>
      <c r="C216" s="441">
        <f>'Database - main figures'!B9</f>
        <v>35142</v>
      </c>
      <c r="D216" s="440">
        <f>COUNTIF(U2:U211,"2018")</f>
        <v>67</v>
      </c>
      <c r="F216" s="411"/>
      <c r="G216" s="412"/>
      <c r="H216" s="60" t="s">
        <v>237</v>
      </c>
      <c r="I216" s="52">
        <f>C213</f>
        <v>210</v>
      </c>
      <c r="J216" s="547"/>
      <c r="K216" s="551" t="s">
        <v>237</v>
      </c>
      <c r="L216" s="552"/>
      <c r="M216" s="52">
        <f>I216</f>
        <v>210</v>
      </c>
      <c r="N216" s="547"/>
      <c r="O216" s="411"/>
      <c r="P216" s="415"/>
      <c r="Q216" s="416"/>
      <c r="R216" s="422"/>
      <c r="S216" s="416"/>
      <c r="AA216" s="410"/>
      <c r="AD216" s="418"/>
    </row>
    <row r="217" spans="1:30" s="409" customFormat="1" ht="14.1" customHeight="1">
      <c r="B217" s="438" t="s">
        <v>1029</v>
      </c>
      <c r="C217" s="441">
        <f>'Database - main figures'!B10</f>
        <v>69872</v>
      </c>
      <c r="D217" s="440">
        <f>COUNTIF(U2:U211,"2019")</f>
        <v>73</v>
      </c>
      <c r="F217" s="411"/>
      <c r="G217" s="412"/>
      <c r="H217" s="60" t="s">
        <v>238</v>
      </c>
      <c r="I217" s="52">
        <f>C219</f>
        <v>203460</v>
      </c>
      <c r="J217" s="547"/>
      <c r="K217" s="551" t="s">
        <v>238</v>
      </c>
      <c r="L217" s="552"/>
      <c r="M217" s="52">
        <f>I217</f>
        <v>203460</v>
      </c>
      <c r="N217" s="547"/>
      <c r="O217" s="411"/>
      <c r="P217" s="415"/>
      <c r="Q217" s="416"/>
      <c r="R217" s="422"/>
      <c r="S217" s="416"/>
      <c r="AA217" s="410"/>
      <c r="AD217" s="418"/>
    </row>
    <row r="218" spans="1:30" s="409" customFormat="1" ht="14.1" customHeight="1">
      <c r="B218" s="438" t="s">
        <v>1030</v>
      </c>
      <c r="C218" s="441">
        <f>'Database - main figures'!B11</f>
        <v>98446</v>
      </c>
      <c r="D218" s="440">
        <f>COUNTIF(U2:U211,"2020")</f>
        <v>70</v>
      </c>
      <c r="F218" s="411"/>
      <c r="G218" s="412"/>
      <c r="H218" s="60" t="s">
        <v>239</v>
      </c>
      <c r="I218" s="53">
        <v>0.9</v>
      </c>
      <c r="J218" s="547"/>
      <c r="K218" s="551" t="s">
        <v>239</v>
      </c>
      <c r="L218" s="552"/>
      <c r="M218" s="53">
        <v>0.9</v>
      </c>
      <c r="N218" s="547"/>
      <c r="O218" s="411"/>
      <c r="P218" s="415"/>
      <c r="Q218" s="416"/>
      <c r="R218" s="422"/>
      <c r="S218" s="416"/>
      <c r="AA218" s="410"/>
      <c r="AD218" s="418"/>
    </row>
    <row r="219" spans="1:30" s="409" customFormat="1" ht="14.1" customHeight="1">
      <c r="B219" s="427" t="s">
        <v>1026</v>
      </c>
      <c r="C219" s="443">
        <f>SUM(C216:C218)</f>
        <v>203460</v>
      </c>
      <c r="D219" s="442">
        <f>SUM(D216:D218)</f>
        <v>210</v>
      </c>
      <c r="F219" s="411"/>
      <c r="G219" s="412"/>
      <c r="H219" s="60" t="s">
        <v>240</v>
      </c>
      <c r="I219" s="54">
        <v>1.6449</v>
      </c>
      <c r="J219" s="547"/>
      <c r="K219" s="551" t="s">
        <v>240</v>
      </c>
      <c r="L219" s="552"/>
      <c r="M219" s="54">
        <v>1.6449</v>
      </c>
      <c r="N219" s="547"/>
      <c r="O219" s="411"/>
      <c r="P219" s="415"/>
      <c r="Q219" s="416"/>
      <c r="R219" s="422"/>
      <c r="S219" s="416"/>
      <c r="AA219" s="410"/>
      <c r="AD219" s="418"/>
    </row>
    <row r="220" spans="1:30" s="409" customFormat="1" ht="14.1" customHeight="1">
      <c r="C220" s="410"/>
      <c r="D220" s="410"/>
      <c r="E220" s="411"/>
      <c r="F220" s="411"/>
      <c r="G220" s="412"/>
      <c r="H220" s="60" t="s">
        <v>241</v>
      </c>
      <c r="I220" s="53">
        <f>I219*SQRT(1-(I216/I217))*SQRT((I215*(1-I215))/I216)</f>
        <v>2.7339533811508988E-2</v>
      </c>
      <c r="J220" s="547"/>
      <c r="K220" s="551" t="s">
        <v>241</v>
      </c>
      <c r="L220" s="552"/>
      <c r="M220" s="62">
        <f>M219*SQRT(1-(M216/M217))*SQRT((M215*(1-M215))/M216)</f>
        <v>3.930833118981053E-2</v>
      </c>
      <c r="N220" s="547"/>
      <c r="O220" s="411"/>
      <c r="P220" s="415"/>
      <c r="Q220" s="416"/>
      <c r="R220" s="422"/>
      <c r="S220" s="416"/>
      <c r="AA220" s="410"/>
      <c r="AD220" s="418"/>
    </row>
    <row r="221" spans="1:30" s="409" customFormat="1" ht="14.1" customHeight="1">
      <c r="C221" s="410"/>
      <c r="D221" s="410"/>
      <c r="E221" s="411"/>
      <c r="F221" s="411"/>
      <c r="G221" s="412"/>
      <c r="H221" s="60" t="s">
        <v>242</v>
      </c>
      <c r="I221" s="53">
        <f>I215-I220</f>
        <v>0.9107557042837291</v>
      </c>
      <c r="J221" s="547"/>
      <c r="K221" s="551" t="s">
        <v>243</v>
      </c>
      <c r="L221" s="552"/>
      <c r="M221" s="53">
        <f>M215-M220</f>
        <v>0.10020428591860184</v>
      </c>
      <c r="N221" s="547"/>
      <c r="O221" s="411"/>
      <c r="P221" s="415"/>
      <c r="Q221" s="416"/>
      <c r="R221" s="422"/>
      <c r="S221" s="416"/>
      <c r="AA221" s="410"/>
      <c r="AD221" s="418"/>
    </row>
    <row r="222" spans="1:30" s="409" customFormat="1" ht="14.1" customHeight="1">
      <c r="C222" s="410"/>
      <c r="D222" s="410"/>
      <c r="E222" s="411"/>
      <c r="F222" s="411"/>
      <c r="G222" s="412"/>
      <c r="H222" s="60" t="s">
        <v>244</v>
      </c>
      <c r="I222" s="53">
        <f>I215+I220</f>
        <v>0.96543477190674709</v>
      </c>
      <c r="J222" s="547"/>
      <c r="K222" s="551" t="s">
        <v>245</v>
      </c>
      <c r="L222" s="552"/>
      <c r="M222" s="53">
        <f>M215+M220</f>
        <v>0.1788209482982229</v>
      </c>
      <c r="N222" s="547"/>
      <c r="O222" s="411"/>
      <c r="P222" s="415"/>
      <c r="Q222" s="416"/>
      <c r="R222" s="422"/>
      <c r="S222" s="416"/>
      <c r="AA222" s="410"/>
      <c r="AD222" s="418"/>
    </row>
    <row r="223" spans="1:30" s="409" customFormat="1" ht="14.1" customHeight="1">
      <c r="C223" s="410"/>
      <c r="D223" s="410"/>
      <c r="E223" s="411"/>
      <c r="F223" s="411"/>
      <c r="G223" s="412"/>
      <c r="H223" s="60" t="s">
        <v>246</v>
      </c>
      <c r="I223" s="53">
        <v>0.1</v>
      </c>
      <c r="J223" s="547"/>
      <c r="K223" s="551" t="s">
        <v>246</v>
      </c>
      <c r="L223" s="552"/>
      <c r="M223" s="61">
        <v>0.1</v>
      </c>
      <c r="N223" s="547"/>
      <c r="O223" s="411"/>
      <c r="P223" s="415"/>
      <c r="Q223" s="416"/>
      <c r="R223" s="422"/>
      <c r="S223" s="416"/>
      <c r="AA223" s="410"/>
      <c r="AD223" s="418"/>
    </row>
    <row r="224" spans="1:30" s="409" customFormat="1" ht="14.1" customHeight="1">
      <c r="C224" s="410"/>
      <c r="D224" s="410"/>
      <c r="E224" s="411"/>
      <c r="F224" s="411"/>
      <c r="G224" s="412"/>
      <c r="H224" s="306" t="s">
        <v>247</v>
      </c>
      <c r="I224" s="307">
        <f>(((I222-I221)/2)/I215)*100%</f>
        <v>2.9143665484349695E-2</v>
      </c>
      <c r="J224" s="547"/>
      <c r="K224" s="560" t="s">
        <v>247</v>
      </c>
      <c r="L224" s="561"/>
      <c r="M224" s="307">
        <f>(((M222-M221)/2)/(1-M215)*100%)</f>
        <v>4.568147304812134E-2</v>
      </c>
      <c r="N224" s="547"/>
      <c r="O224" s="411"/>
      <c r="P224" s="415"/>
      <c r="Q224" s="416"/>
      <c r="R224" s="422"/>
      <c r="S224" s="416"/>
      <c r="AA224" s="410"/>
      <c r="AD224" s="418"/>
    </row>
    <row r="225" spans="3:30" s="409" customFormat="1" ht="14.1" customHeight="1" thickBot="1">
      <c r="C225" s="410"/>
      <c r="D225" s="410"/>
      <c r="E225" s="411"/>
      <c r="F225" s="411"/>
      <c r="G225" s="412"/>
      <c r="H225" s="311" t="s">
        <v>248</v>
      </c>
      <c r="I225" s="312" t="str">
        <f>IF(I224&gt;I223,"Precision not reached","Precision OK")</f>
        <v>Precision OK</v>
      </c>
      <c r="J225" s="548"/>
      <c r="K225" s="311" t="s">
        <v>248</v>
      </c>
      <c r="L225" s="555" t="str">
        <f>IF(M224&gt;M223,"Precision not reached","Precision OK")</f>
        <v>Precision OK</v>
      </c>
      <c r="M225" s="562"/>
      <c r="N225" s="548"/>
      <c r="O225" s="411"/>
      <c r="P225" s="415"/>
      <c r="Q225" s="416"/>
      <c r="R225" s="422"/>
      <c r="S225" s="416"/>
      <c r="AA225" s="410"/>
      <c r="AD225" s="418"/>
    </row>
    <row r="226" spans="3:30" s="409" customFormat="1" ht="14.1" customHeight="1">
      <c r="C226" s="410"/>
      <c r="D226" s="410"/>
      <c r="E226" s="411"/>
      <c r="F226" s="411"/>
      <c r="G226" s="412"/>
      <c r="H226" s="411"/>
      <c r="I226" s="413"/>
      <c r="N226" s="411"/>
      <c r="O226" s="411"/>
      <c r="P226" s="415"/>
      <c r="Q226" s="416"/>
      <c r="R226" s="422"/>
      <c r="S226" s="416"/>
      <c r="AA226" s="410"/>
      <c r="AD226" s="418"/>
    </row>
    <row r="227" spans="3:30" s="409" customFormat="1" ht="14.1" customHeight="1">
      <c r="C227" s="410"/>
      <c r="D227" s="410"/>
      <c r="E227" s="411"/>
      <c r="F227" s="411"/>
      <c r="G227" s="412"/>
      <c r="H227" s="411"/>
      <c r="I227" s="413"/>
      <c r="J227" s="410"/>
      <c r="N227" s="411"/>
      <c r="O227" s="411"/>
      <c r="P227" s="415"/>
      <c r="Q227" s="416"/>
      <c r="R227" s="422"/>
      <c r="S227" s="416"/>
      <c r="AA227" s="410"/>
      <c r="AD227" s="418"/>
    </row>
    <row r="228" spans="3:30" s="409" customFormat="1" ht="14.1" customHeight="1" thickBot="1">
      <c r="F228" s="411"/>
      <c r="G228" s="412"/>
      <c r="H228" s="367">
        <f>AVERAGEIF(U2:U211,"2018",K2:K211)</f>
        <v>1.044776119402985</v>
      </c>
      <c r="I228" s="55"/>
      <c r="J228" s="55"/>
      <c r="K228" s="55"/>
      <c r="L228" s="55"/>
      <c r="M228" s="55"/>
      <c r="N228" s="55"/>
      <c r="O228" s="411"/>
      <c r="P228" s="415"/>
      <c r="Q228" s="416"/>
      <c r="R228" s="422"/>
      <c r="S228" s="416"/>
      <c r="AA228" s="410"/>
      <c r="AD228" s="418"/>
    </row>
    <row r="229" spans="3:30" s="409" customFormat="1" ht="14.1" customHeight="1">
      <c r="F229" s="411"/>
      <c r="G229" s="412"/>
      <c r="H229" s="309" t="s">
        <v>235</v>
      </c>
      <c r="I229" s="310">
        <f>COUNTIFS(U2:U211,"2018",I2:I211,"yes")/D216</f>
        <v>0.92537313432835822</v>
      </c>
      <c r="J229" s="546" t="s">
        <v>249</v>
      </c>
      <c r="K229" s="549" t="s">
        <v>236</v>
      </c>
      <c r="L229" s="550"/>
      <c r="M229" s="310">
        <f>AVERAGEIFS(P2:P211,U2:U211,"2018",J2:J211,"yes")</f>
        <v>0.17255158870522172</v>
      </c>
      <c r="N229" s="546" t="s">
        <v>249</v>
      </c>
      <c r="O229" s="411"/>
      <c r="P229" s="415"/>
      <c r="Q229" s="416"/>
      <c r="R229" s="422"/>
      <c r="S229" s="416"/>
      <c r="AA229" s="410"/>
      <c r="AD229" s="418"/>
    </row>
    <row r="230" spans="3:30" s="409" customFormat="1" ht="14.1" customHeight="1">
      <c r="F230" s="411"/>
      <c r="G230" s="412"/>
      <c r="H230" s="60" t="s">
        <v>237</v>
      </c>
      <c r="I230" s="52">
        <f>D216</f>
        <v>67</v>
      </c>
      <c r="J230" s="547"/>
      <c r="K230" s="551" t="s">
        <v>237</v>
      </c>
      <c r="L230" s="552"/>
      <c r="M230" s="52">
        <f>I230</f>
        <v>67</v>
      </c>
      <c r="N230" s="547"/>
      <c r="O230" s="411"/>
      <c r="P230" s="415"/>
      <c r="Q230" s="416"/>
      <c r="R230" s="422"/>
      <c r="S230" s="416"/>
      <c r="AA230" s="410"/>
      <c r="AD230" s="418"/>
    </row>
    <row r="231" spans="3:30" s="409" customFormat="1" ht="14.1" customHeight="1">
      <c r="F231" s="411"/>
      <c r="G231" s="412"/>
      <c r="H231" s="60" t="s">
        <v>238</v>
      </c>
      <c r="I231" s="52">
        <f>C216</f>
        <v>35142</v>
      </c>
      <c r="J231" s="547"/>
      <c r="K231" s="551" t="s">
        <v>238</v>
      </c>
      <c r="L231" s="552"/>
      <c r="M231" s="52">
        <f>I231</f>
        <v>35142</v>
      </c>
      <c r="N231" s="547"/>
      <c r="O231" s="411"/>
      <c r="P231" s="415"/>
      <c r="Q231" s="416"/>
      <c r="R231" s="422"/>
      <c r="S231" s="416"/>
      <c r="AA231" s="410"/>
      <c r="AD231" s="418"/>
    </row>
    <row r="232" spans="3:30" s="409" customFormat="1" ht="14.1" customHeight="1">
      <c r="F232" s="411"/>
      <c r="G232" s="412"/>
      <c r="H232" s="60" t="s">
        <v>239</v>
      </c>
      <c r="I232" s="53">
        <v>0.9</v>
      </c>
      <c r="J232" s="547"/>
      <c r="K232" s="551" t="s">
        <v>239</v>
      </c>
      <c r="L232" s="552"/>
      <c r="M232" s="53">
        <v>0.9</v>
      </c>
      <c r="N232" s="547"/>
      <c r="O232" s="411"/>
      <c r="P232" s="415"/>
      <c r="Q232" s="416"/>
      <c r="R232" s="422"/>
      <c r="S232" s="416"/>
      <c r="AA232" s="410"/>
      <c r="AD232" s="418"/>
    </row>
    <row r="233" spans="3:30" s="409" customFormat="1" ht="14.1" customHeight="1">
      <c r="C233" s="410"/>
      <c r="D233" s="410"/>
      <c r="E233" s="411"/>
      <c r="F233" s="411"/>
      <c r="G233" s="412"/>
      <c r="H233" s="60" t="s">
        <v>240</v>
      </c>
      <c r="I233" s="54">
        <v>1.6449</v>
      </c>
      <c r="J233" s="547"/>
      <c r="K233" s="551" t="s">
        <v>240</v>
      </c>
      <c r="L233" s="552"/>
      <c r="M233" s="54">
        <v>1.6449</v>
      </c>
      <c r="N233" s="547"/>
      <c r="O233" s="411"/>
      <c r="P233" s="415"/>
      <c r="Q233" s="416"/>
      <c r="R233" s="422"/>
      <c r="S233" s="416"/>
      <c r="AA233" s="410"/>
      <c r="AD233" s="418"/>
    </row>
    <row r="234" spans="3:30" s="409" customFormat="1" ht="14.1" customHeight="1">
      <c r="C234" s="410"/>
      <c r="D234" s="410"/>
      <c r="E234" s="411"/>
      <c r="F234" s="411"/>
      <c r="G234" s="412"/>
      <c r="H234" s="60" t="s">
        <v>241</v>
      </c>
      <c r="I234" s="53">
        <f>I233*SQRT(1-(I230/I231))*SQRT((I229*(1-I229))/I230)</f>
        <v>5.2758658736952568E-2</v>
      </c>
      <c r="J234" s="547"/>
      <c r="K234" s="551" t="s">
        <v>241</v>
      </c>
      <c r="L234" s="552"/>
      <c r="M234" s="62">
        <f>M233*SQRT(1-(M230/M231))*SQRT((M229*(1-M229))/M230)</f>
        <v>7.5860839817032358E-2</v>
      </c>
      <c r="N234" s="547"/>
      <c r="O234" s="411"/>
      <c r="P234" s="415"/>
      <c r="Q234" s="416"/>
      <c r="R234" s="422"/>
      <c r="S234" s="416"/>
      <c r="AA234" s="410"/>
      <c r="AD234" s="418"/>
    </row>
    <row r="235" spans="3:30" s="409" customFormat="1" ht="14.1" customHeight="1">
      <c r="C235" s="410"/>
      <c r="D235" s="410"/>
      <c r="E235" s="411"/>
      <c r="F235" s="411"/>
      <c r="G235" s="412"/>
      <c r="H235" s="60" t="s">
        <v>242</v>
      </c>
      <c r="I235" s="53">
        <f>I229-I234</f>
        <v>0.87261447559140559</v>
      </c>
      <c r="J235" s="547"/>
      <c r="K235" s="551" t="s">
        <v>243</v>
      </c>
      <c r="L235" s="552"/>
      <c r="M235" s="53">
        <f>M229-M234</f>
        <v>9.6690748888189362E-2</v>
      </c>
      <c r="N235" s="547"/>
      <c r="O235" s="411"/>
      <c r="P235" s="415"/>
      <c r="Q235" s="416"/>
      <c r="R235" s="422"/>
      <c r="S235" s="416"/>
      <c r="AA235" s="410"/>
      <c r="AD235" s="418"/>
    </row>
    <row r="236" spans="3:30" s="409" customFormat="1" ht="14.1" customHeight="1">
      <c r="C236" s="410"/>
      <c r="D236" s="410"/>
      <c r="E236" s="411"/>
      <c r="F236" s="411"/>
      <c r="G236" s="412"/>
      <c r="H236" s="60" t="s">
        <v>244</v>
      </c>
      <c r="I236" s="53">
        <f>I229+I234</f>
        <v>0.97813179306531084</v>
      </c>
      <c r="J236" s="547"/>
      <c r="K236" s="551" t="s">
        <v>245</v>
      </c>
      <c r="L236" s="552"/>
      <c r="M236" s="53">
        <f>M229+M234</f>
        <v>0.24841242852225409</v>
      </c>
      <c r="N236" s="547"/>
      <c r="O236" s="411"/>
      <c r="P236" s="415"/>
      <c r="Q236" s="416"/>
      <c r="R236" s="422"/>
      <c r="S236" s="416"/>
      <c r="AA236" s="410"/>
      <c r="AD236" s="418"/>
    </row>
    <row r="237" spans="3:30" s="409" customFormat="1" ht="14.1" customHeight="1">
      <c r="C237" s="410"/>
      <c r="D237" s="410"/>
      <c r="E237" s="411"/>
      <c r="F237" s="411"/>
      <c r="G237" s="412"/>
      <c r="H237" s="60" t="s">
        <v>246</v>
      </c>
      <c r="I237" s="53">
        <v>0.1</v>
      </c>
      <c r="J237" s="547"/>
      <c r="K237" s="551" t="s">
        <v>246</v>
      </c>
      <c r="L237" s="552"/>
      <c r="M237" s="61">
        <v>0.1</v>
      </c>
      <c r="N237" s="547"/>
      <c r="O237" s="411"/>
      <c r="P237" s="415"/>
      <c r="Q237" s="416"/>
      <c r="R237" s="422"/>
      <c r="S237" s="416"/>
      <c r="AA237" s="410"/>
      <c r="AD237" s="418"/>
    </row>
    <row r="238" spans="3:30" s="409" customFormat="1" ht="14.1" customHeight="1">
      <c r="C238" s="410"/>
      <c r="D238" s="410"/>
      <c r="E238" s="411"/>
      <c r="F238" s="411"/>
      <c r="G238" s="412"/>
      <c r="H238" s="306" t="s">
        <v>247</v>
      </c>
      <c r="I238" s="307">
        <f>(((I236-I235)/2)/I229)*100%</f>
        <v>5.7013389280255254E-2</v>
      </c>
      <c r="J238" s="547"/>
      <c r="K238" s="553" t="s">
        <v>247</v>
      </c>
      <c r="L238" s="554"/>
      <c r="M238" s="307">
        <f>(((M236-M235)/2)/(1-M229)*100%)</f>
        <v>9.1680446516691619E-2</v>
      </c>
      <c r="N238" s="547"/>
      <c r="O238" s="411"/>
      <c r="P238" s="415"/>
      <c r="Q238" s="416"/>
      <c r="R238" s="422"/>
      <c r="S238" s="416"/>
      <c r="AA238" s="410"/>
      <c r="AD238" s="418"/>
    </row>
    <row r="239" spans="3:30" s="409" customFormat="1" ht="14.1" customHeight="1" thickBot="1">
      <c r="C239" s="410"/>
      <c r="D239" s="410"/>
      <c r="E239" s="411"/>
      <c r="F239" s="411"/>
      <c r="G239" s="412"/>
      <c r="H239" s="311" t="s">
        <v>248</v>
      </c>
      <c r="I239" s="312" t="str">
        <f>IF(I238&gt;I237,"Precision not reached","Precision OK")</f>
        <v>Precision OK</v>
      </c>
      <c r="J239" s="548"/>
      <c r="K239" s="311" t="s">
        <v>248</v>
      </c>
      <c r="L239" s="555" t="str">
        <f>IF(M238&gt;M237,"Precision not reached","Precision OK")</f>
        <v>Precision OK</v>
      </c>
      <c r="M239" s="555"/>
      <c r="N239" s="548"/>
      <c r="O239" s="411"/>
      <c r="P239" s="415"/>
      <c r="Q239" s="416"/>
      <c r="R239" s="422"/>
      <c r="S239" s="416"/>
      <c r="AA239" s="410"/>
      <c r="AD239" s="418"/>
    </row>
    <row r="240" spans="3:30" s="409" customFormat="1" ht="14.1" customHeight="1">
      <c r="C240" s="410"/>
      <c r="D240" s="410"/>
      <c r="E240" s="411"/>
      <c r="F240" s="411"/>
      <c r="G240" s="412"/>
      <c r="H240" s="55"/>
      <c r="I240" s="55"/>
      <c r="J240" s="55"/>
      <c r="K240" s="55"/>
      <c r="L240" s="55"/>
      <c r="M240" s="55"/>
      <c r="N240" s="55"/>
      <c r="O240" s="411"/>
      <c r="P240" s="415"/>
      <c r="Q240" s="416"/>
      <c r="R240" s="422"/>
      <c r="S240" s="416"/>
      <c r="AA240" s="410"/>
      <c r="AD240" s="418"/>
    </row>
    <row r="241" spans="3:30" s="409" customFormat="1" ht="14.1" customHeight="1" thickBot="1">
      <c r="C241" s="410"/>
      <c r="D241" s="410"/>
      <c r="E241" s="411"/>
      <c r="F241" s="411"/>
      <c r="G241" s="412"/>
      <c r="H241" s="367">
        <f>AVERAGEIF(U2:U211,"2019",K2:K211)</f>
        <v>1.095890410958904</v>
      </c>
      <c r="I241" s="55"/>
      <c r="J241" s="55"/>
      <c r="K241" s="55"/>
      <c r="L241" s="55"/>
      <c r="M241" s="55"/>
      <c r="N241" s="55"/>
      <c r="O241" s="411"/>
      <c r="P241" s="415"/>
      <c r="Q241" s="416"/>
      <c r="R241" s="422"/>
      <c r="S241" s="416"/>
      <c r="AA241" s="410"/>
      <c r="AD241" s="418"/>
    </row>
    <row r="242" spans="3:30" s="409" customFormat="1" ht="14.1" customHeight="1">
      <c r="C242" s="410"/>
      <c r="D242" s="410"/>
      <c r="E242" s="411"/>
      <c r="F242" s="411"/>
      <c r="G242" s="412"/>
      <c r="H242" s="309" t="s">
        <v>235</v>
      </c>
      <c r="I242" s="310">
        <f>COUNTIFS(U2:U211,"2019",I2:I211,"yes")/D217</f>
        <v>0.9178082191780822</v>
      </c>
      <c r="J242" s="546" t="s">
        <v>250</v>
      </c>
      <c r="K242" s="556" t="s">
        <v>236</v>
      </c>
      <c r="L242" s="557"/>
      <c r="M242" s="313">
        <f>AVERAGEIFS(P2:P210,U2:U210,"2019",J2:J210,"yes")</f>
        <v>0.11376969386143365</v>
      </c>
      <c r="N242" s="546" t="s">
        <v>250</v>
      </c>
      <c r="O242" s="411"/>
      <c r="P242" s="415"/>
      <c r="Q242" s="416"/>
      <c r="R242" s="422"/>
      <c r="S242" s="416"/>
      <c r="AA242" s="410"/>
      <c r="AD242" s="418"/>
    </row>
    <row r="243" spans="3:30" s="409" customFormat="1" ht="14.1" customHeight="1">
      <c r="C243" s="410"/>
      <c r="D243" s="410"/>
      <c r="E243" s="411"/>
      <c r="F243" s="411"/>
      <c r="G243" s="412"/>
      <c r="H243" s="60" t="s">
        <v>237</v>
      </c>
      <c r="I243" s="52">
        <f>D217</f>
        <v>73</v>
      </c>
      <c r="J243" s="547"/>
      <c r="K243" s="558" t="s">
        <v>237</v>
      </c>
      <c r="L243" s="559"/>
      <c r="M243" s="308">
        <f>I243</f>
        <v>73</v>
      </c>
      <c r="N243" s="547"/>
      <c r="O243" s="411"/>
      <c r="P243" s="415"/>
      <c r="Q243" s="416"/>
      <c r="R243" s="422"/>
      <c r="S243" s="416"/>
      <c r="AA243" s="410"/>
      <c r="AD243" s="418"/>
    </row>
    <row r="244" spans="3:30" s="409" customFormat="1" ht="14.1" customHeight="1">
      <c r="C244" s="410"/>
      <c r="D244" s="410"/>
      <c r="E244" s="411"/>
      <c r="F244" s="411"/>
      <c r="G244" s="412"/>
      <c r="H244" s="60" t="s">
        <v>238</v>
      </c>
      <c r="I244" s="52">
        <f>C217</f>
        <v>69872</v>
      </c>
      <c r="J244" s="547"/>
      <c r="K244" s="551" t="s">
        <v>238</v>
      </c>
      <c r="L244" s="552"/>
      <c r="M244" s="52">
        <f>I244</f>
        <v>69872</v>
      </c>
      <c r="N244" s="547"/>
      <c r="O244" s="411"/>
      <c r="P244" s="415"/>
      <c r="Q244" s="416"/>
      <c r="R244" s="422"/>
      <c r="S244" s="416"/>
      <c r="AA244" s="410"/>
      <c r="AD244" s="418"/>
    </row>
    <row r="245" spans="3:30" s="409" customFormat="1" ht="14.1" customHeight="1">
      <c r="C245" s="410"/>
      <c r="D245" s="410"/>
      <c r="E245" s="411"/>
      <c r="F245" s="411"/>
      <c r="G245" s="412"/>
      <c r="H245" s="60" t="s">
        <v>239</v>
      </c>
      <c r="I245" s="53">
        <v>0.9</v>
      </c>
      <c r="J245" s="547"/>
      <c r="K245" s="551" t="s">
        <v>239</v>
      </c>
      <c r="L245" s="552"/>
      <c r="M245" s="53">
        <v>0.9</v>
      </c>
      <c r="N245" s="547"/>
      <c r="O245" s="411"/>
      <c r="P245" s="415"/>
      <c r="Q245" s="416"/>
      <c r="R245" s="422"/>
      <c r="S245" s="416"/>
      <c r="AA245" s="410"/>
      <c r="AD245" s="418"/>
    </row>
    <row r="246" spans="3:30" s="409" customFormat="1" ht="14.1" customHeight="1">
      <c r="C246" s="410"/>
      <c r="D246" s="410"/>
      <c r="E246" s="411"/>
      <c r="F246" s="411"/>
      <c r="G246" s="412"/>
      <c r="H246" s="60" t="s">
        <v>240</v>
      </c>
      <c r="I246" s="54">
        <v>1.6449</v>
      </c>
      <c r="J246" s="547"/>
      <c r="K246" s="551" t="s">
        <v>240</v>
      </c>
      <c r="L246" s="552"/>
      <c r="M246" s="54">
        <v>1.6449</v>
      </c>
      <c r="N246" s="547"/>
      <c r="O246" s="411"/>
      <c r="P246" s="415"/>
      <c r="Q246" s="416"/>
      <c r="R246" s="422"/>
      <c r="S246" s="416"/>
      <c r="AA246" s="410"/>
      <c r="AD246" s="418"/>
    </row>
    <row r="247" spans="3:30" s="409" customFormat="1" ht="14.1" customHeight="1">
      <c r="C247" s="410"/>
      <c r="D247" s="410"/>
      <c r="E247" s="411"/>
      <c r="F247" s="411"/>
      <c r="G247" s="412"/>
      <c r="H247" s="60" t="s">
        <v>241</v>
      </c>
      <c r="I247" s="53">
        <f>I246*SQRT(1-(I243/I244))*SQRT((I242*(1-I242))/I243)</f>
        <v>5.2849544672059996E-2</v>
      </c>
      <c r="J247" s="547"/>
      <c r="K247" s="551" t="s">
        <v>241</v>
      </c>
      <c r="L247" s="552"/>
      <c r="M247" s="62">
        <f>M246*SQRT(1-(M243/M244))*SQRT((M242*(1-M242))/M243)</f>
        <v>6.1099502913547661E-2</v>
      </c>
      <c r="N247" s="547"/>
      <c r="O247" s="411"/>
      <c r="P247" s="415"/>
      <c r="Q247" s="416"/>
      <c r="R247" s="422"/>
      <c r="S247" s="416"/>
      <c r="AA247" s="410"/>
      <c r="AD247" s="418"/>
    </row>
    <row r="248" spans="3:30" s="409" customFormat="1" ht="14.1" customHeight="1">
      <c r="C248" s="410"/>
      <c r="D248" s="410"/>
      <c r="E248" s="411"/>
      <c r="F248" s="411"/>
      <c r="G248" s="412"/>
      <c r="H248" s="60" t="s">
        <v>242</v>
      </c>
      <c r="I248" s="53">
        <f>I242-I247</f>
        <v>0.86495867450602215</v>
      </c>
      <c r="J248" s="547"/>
      <c r="K248" s="551" t="s">
        <v>243</v>
      </c>
      <c r="L248" s="552"/>
      <c r="M248" s="53">
        <f>M242-M247</f>
        <v>5.2670190947885991E-2</v>
      </c>
      <c r="N248" s="547"/>
      <c r="O248" s="411"/>
      <c r="P248" s="415"/>
      <c r="Q248" s="416"/>
      <c r="R248" s="422"/>
      <c r="S248" s="416"/>
      <c r="AA248" s="410"/>
      <c r="AD248" s="418"/>
    </row>
    <row r="249" spans="3:30" s="409" customFormat="1" ht="14.1" customHeight="1">
      <c r="C249" s="410"/>
      <c r="D249" s="410"/>
      <c r="E249" s="411"/>
      <c r="F249" s="411"/>
      <c r="G249" s="412"/>
      <c r="H249" s="60" t="s">
        <v>244</v>
      </c>
      <c r="I249" s="53">
        <f>I242+I247</f>
        <v>0.97065776385014224</v>
      </c>
      <c r="J249" s="547"/>
      <c r="K249" s="551" t="s">
        <v>245</v>
      </c>
      <c r="L249" s="552"/>
      <c r="M249" s="53">
        <f>M242+M247</f>
        <v>0.17486919677498131</v>
      </c>
      <c r="N249" s="547"/>
      <c r="O249" s="411"/>
      <c r="P249" s="415"/>
      <c r="Q249" s="416"/>
      <c r="R249" s="422"/>
      <c r="S249" s="416"/>
      <c r="AA249" s="410"/>
      <c r="AD249" s="418"/>
    </row>
    <row r="250" spans="3:30" s="409" customFormat="1" ht="14.1" customHeight="1">
      <c r="C250" s="410"/>
      <c r="D250" s="410"/>
      <c r="E250" s="411"/>
      <c r="F250" s="411"/>
      <c r="G250" s="412"/>
      <c r="H250" s="60" t="s">
        <v>246</v>
      </c>
      <c r="I250" s="53">
        <v>0.1</v>
      </c>
      <c r="J250" s="547"/>
      <c r="K250" s="551" t="s">
        <v>246</v>
      </c>
      <c r="L250" s="552"/>
      <c r="M250" s="61">
        <v>0.1</v>
      </c>
      <c r="N250" s="547"/>
      <c r="O250" s="411"/>
      <c r="P250" s="415"/>
      <c r="Q250" s="416"/>
      <c r="R250" s="422"/>
      <c r="S250" s="416"/>
      <c r="AA250" s="410"/>
      <c r="AD250" s="418"/>
    </row>
    <row r="251" spans="3:30" s="409" customFormat="1" ht="14.1" customHeight="1">
      <c r="C251" s="410"/>
      <c r="D251" s="410"/>
      <c r="E251" s="411"/>
      <c r="F251" s="411"/>
      <c r="G251" s="412"/>
      <c r="H251" s="306" t="s">
        <v>247</v>
      </c>
      <c r="I251" s="307">
        <f>(((I249-I248)/2)/I242)*100%</f>
        <v>5.7582339717319152E-2</v>
      </c>
      <c r="J251" s="547"/>
      <c r="K251" s="553" t="s">
        <v>247</v>
      </c>
      <c r="L251" s="554"/>
      <c r="M251" s="307">
        <f>(((M249-M248)/2)/(1-M242)*100%)</f>
        <v>6.8943143210444952E-2</v>
      </c>
      <c r="N251" s="547"/>
      <c r="O251" s="411"/>
      <c r="P251" s="415"/>
      <c r="Q251" s="416"/>
      <c r="R251" s="422"/>
      <c r="S251" s="416"/>
      <c r="AA251" s="410"/>
      <c r="AD251" s="418"/>
    </row>
    <row r="252" spans="3:30" s="409" customFormat="1" ht="14.1" customHeight="1" thickBot="1">
      <c r="C252" s="410"/>
      <c r="D252" s="410"/>
      <c r="E252" s="411"/>
      <c r="F252" s="411"/>
      <c r="G252" s="412"/>
      <c r="H252" s="311" t="s">
        <v>248</v>
      </c>
      <c r="I252" s="312" t="str">
        <f>IF(I251&gt;I250,"Precision not reached","Precision OK")</f>
        <v>Precision OK</v>
      </c>
      <c r="J252" s="548"/>
      <c r="K252" s="311" t="s">
        <v>248</v>
      </c>
      <c r="L252" s="555" t="str">
        <f>IF(M251&gt;M250,"Precision not reached","Precision OK")</f>
        <v>Precision OK</v>
      </c>
      <c r="M252" s="555"/>
      <c r="N252" s="548"/>
      <c r="O252" s="411"/>
      <c r="P252" s="415"/>
      <c r="Q252" s="416"/>
      <c r="R252" s="422"/>
      <c r="S252" s="416"/>
      <c r="AA252" s="410"/>
      <c r="AD252" s="418"/>
    </row>
    <row r="253" spans="3:30" s="409" customFormat="1" ht="14.1" customHeight="1">
      <c r="C253" s="410"/>
      <c r="D253" s="410"/>
      <c r="E253" s="411"/>
      <c r="F253" s="411"/>
      <c r="G253" s="412"/>
      <c r="H253" s="55"/>
      <c r="I253" s="55"/>
      <c r="J253" s="55"/>
      <c r="K253" s="55"/>
      <c r="L253" s="55"/>
      <c r="M253" s="55"/>
      <c r="N253" s="55"/>
      <c r="O253" s="411"/>
      <c r="P253" s="415"/>
      <c r="Q253" s="416"/>
      <c r="R253" s="422"/>
      <c r="S253" s="416"/>
      <c r="AA253" s="410"/>
      <c r="AD253" s="418"/>
    </row>
    <row r="254" spans="3:30" s="409" customFormat="1" ht="14.1" customHeight="1" thickBot="1">
      <c r="C254" s="410"/>
      <c r="D254" s="410"/>
      <c r="E254" s="411"/>
      <c r="F254" s="411"/>
      <c r="G254" s="412"/>
      <c r="H254" s="367">
        <f>AVERAGEIF(U2:U211,"2020",K2:K211)</f>
        <v>1.0428571428571429</v>
      </c>
      <c r="I254" s="55"/>
      <c r="J254" s="55"/>
      <c r="K254" s="55"/>
      <c r="L254" s="55"/>
      <c r="M254" s="55"/>
      <c r="N254" s="55"/>
      <c r="O254" s="411"/>
      <c r="P254" s="415"/>
      <c r="Q254" s="416"/>
      <c r="R254" s="422"/>
      <c r="S254" s="416"/>
      <c r="AA254" s="410"/>
      <c r="AD254" s="418"/>
    </row>
    <row r="255" spans="3:30" s="409" customFormat="1" ht="14.1" customHeight="1">
      <c r="C255" s="410"/>
      <c r="D255" s="410"/>
      <c r="E255" s="411"/>
      <c r="F255" s="411"/>
      <c r="G255" s="412"/>
      <c r="H255" s="309" t="s">
        <v>235</v>
      </c>
      <c r="I255" s="310">
        <f>COUNTIFS(U2:U211,"2020",I2:I211,"yes")/D218</f>
        <v>0.97142857142857142</v>
      </c>
      <c r="J255" s="546" t="s">
        <v>251</v>
      </c>
      <c r="K255" s="549" t="s">
        <v>236</v>
      </c>
      <c r="L255" s="550"/>
      <c r="M255" s="310">
        <f>AVERAGEIFS(P2:P211,U2:U211,"2020",J2:J211,"yes")</f>
        <v>0.13475319973407998</v>
      </c>
      <c r="N255" s="546" t="s">
        <v>251</v>
      </c>
      <c r="O255" s="411"/>
      <c r="P255" s="415"/>
      <c r="Q255" s="416"/>
      <c r="R255" s="422"/>
      <c r="S255" s="416"/>
      <c r="AA255" s="410"/>
      <c r="AD255" s="418"/>
    </row>
    <row r="256" spans="3:30" s="409" customFormat="1" ht="14.1" customHeight="1">
      <c r="C256" s="410"/>
      <c r="D256" s="410"/>
      <c r="E256" s="411"/>
      <c r="F256" s="411"/>
      <c r="G256" s="412"/>
      <c r="H256" s="60" t="s">
        <v>237</v>
      </c>
      <c r="I256" s="52">
        <f>D218</f>
        <v>70</v>
      </c>
      <c r="J256" s="547"/>
      <c r="K256" s="551" t="s">
        <v>237</v>
      </c>
      <c r="L256" s="552"/>
      <c r="M256" s="52">
        <f>I256</f>
        <v>70</v>
      </c>
      <c r="N256" s="547"/>
      <c r="O256" s="411"/>
      <c r="P256" s="415"/>
      <c r="Q256" s="416"/>
      <c r="R256" s="422"/>
      <c r="S256" s="416"/>
      <c r="AA256" s="410"/>
      <c r="AD256" s="418"/>
    </row>
    <row r="257" spans="3:30" s="409" customFormat="1" ht="14.1" customHeight="1">
      <c r="C257" s="410"/>
      <c r="D257" s="410"/>
      <c r="E257" s="411"/>
      <c r="F257" s="411"/>
      <c r="G257" s="412"/>
      <c r="H257" s="60" t="s">
        <v>238</v>
      </c>
      <c r="I257" s="52">
        <f>C218</f>
        <v>98446</v>
      </c>
      <c r="J257" s="547"/>
      <c r="K257" s="551" t="s">
        <v>238</v>
      </c>
      <c r="L257" s="552"/>
      <c r="M257" s="52">
        <f>I257</f>
        <v>98446</v>
      </c>
      <c r="N257" s="547"/>
      <c r="O257" s="411"/>
      <c r="P257" s="415"/>
      <c r="Q257" s="416"/>
      <c r="R257" s="422"/>
      <c r="S257" s="416"/>
      <c r="AA257" s="410"/>
      <c r="AD257" s="418"/>
    </row>
    <row r="258" spans="3:30" s="409" customFormat="1" ht="14.1" customHeight="1">
      <c r="C258" s="410"/>
      <c r="D258" s="410"/>
      <c r="E258" s="411"/>
      <c r="F258" s="411"/>
      <c r="G258" s="412"/>
      <c r="H258" s="60" t="s">
        <v>239</v>
      </c>
      <c r="I258" s="53">
        <v>0.9</v>
      </c>
      <c r="J258" s="547"/>
      <c r="K258" s="551" t="s">
        <v>239</v>
      </c>
      <c r="L258" s="552"/>
      <c r="M258" s="53">
        <v>0.9</v>
      </c>
      <c r="N258" s="547"/>
      <c r="O258" s="411"/>
      <c r="P258" s="415"/>
      <c r="Q258" s="416"/>
      <c r="R258" s="422"/>
      <c r="S258" s="416"/>
      <c r="AA258" s="410"/>
      <c r="AD258" s="418"/>
    </row>
    <row r="259" spans="3:30" s="409" customFormat="1" ht="14.1" customHeight="1">
      <c r="C259" s="410"/>
      <c r="D259" s="410"/>
      <c r="E259" s="411"/>
      <c r="F259" s="411"/>
      <c r="G259" s="412"/>
      <c r="H259" s="60" t="s">
        <v>240</v>
      </c>
      <c r="I259" s="54">
        <v>1.6449</v>
      </c>
      <c r="J259" s="547"/>
      <c r="K259" s="551" t="s">
        <v>240</v>
      </c>
      <c r="L259" s="552"/>
      <c r="M259" s="54">
        <v>1.6449</v>
      </c>
      <c r="N259" s="547"/>
      <c r="O259" s="411"/>
      <c r="P259" s="415"/>
      <c r="Q259" s="416"/>
      <c r="R259" s="422"/>
      <c r="S259" s="416"/>
      <c r="AA259" s="410"/>
      <c r="AD259" s="418"/>
    </row>
    <row r="260" spans="3:30" s="409" customFormat="1" ht="14.1" customHeight="1">
      <c r="C260" s="410"/>
      <c r="D260" s="410"/>
      <c r="E260" s="411"/>
      <c r="F260" s="411"/>
      <c r="G260" s="412"/>
      <c r="H260" s="60" t="s">
        <v>241</v>
      </c>
      <c r="I260" s="53">
        <f>I259*SQRT(1-(I256/I257))*SQRT((I255*(1-I255))/I256)</f>
        <v>3.2742168363916198E-2</v>
      </c>
      <c r="J260" s="547"/>
      <c r="K260" s="551" t="s">
        <v>241</v>
      </c>
      <c r="L260" s="552"/>
      <c r="M260" s="62">
        <f>M259*SQRT(1-(M256/M257))*SQRT((M255*(1-M255))/M256)</f>
        <v>6.7108196471557746E-2</v>
      </c>
      <c r="N260" s="547"/>
      <c r="O260" s="411"/>
      <c r="P260" s="415"/>
      <c r="Q260" s="416"/>
      <c r="R260" s="422"/>
      <c r="S260" s="416"/>
      <c r="AA260" s="410"/>
      <c r="AD260" s="418"/>
    </row>
    <row r="261" spans="3:30" s="409" customFormat="1" ht="14.1" customHeight="1">
      <c r="C261" s="410"/>
      <c r="D261" s="410"/>
      <c r="E261" s="411"/>
      <c r="F261" s="411"/>
      <c r="G261" s="412"/>
      <c r="H261" s="60" t="s">
        <v>242</v>
      </c>
      <c r="I261" s="53">
        <f>I255-I260</f>
        <v>0.93868640306465523</v>
      </c>
      <c r="J261" s="547"/>
      <c r="K261" s="551" t="s">
        <v>243</v>
      </c>
      <c r="L261" s="552"/>
      <c r="M261" s="53">
        <f>M255-M260</f>
        <v>6.7645003262522235E-2</v>
      </c>
      <c r="N261" s="547"/>
      <c r="O261" s="411"/>
      <c r="P261" s="415"/>
      <c r="Q261" s="416"/>
      <c r="R261" s="422"/>
      <c r="S261" s="416"/>
      <c r="AA261" s="410"/>
      <c r="AD261" s="418"/>
    </row>
    <row r="262" spans="3:30" s="409" customFormat="1" ht="14.1" customHeight="1">
      <c r="C262" s="410"/>
      <c r="D262" s="410"/>
      <c r="E262" s="411"/>
      <c r="F262" s="411"/>
      <c r="G262" s="412"/>
      <c r="H262" s="60" t="s">
        <v>244</v>
      </c>
      <c r="I262" s="53">
        <f>I255+I260</f>
        <v>1.0041707397924877</v>
      </c>
      <c r="J262" s="547"/>
      <c r="K262" s="551" t="s">
        <v>245</v>
      </c>
      <c r="L262" s="552"/>
      <c r="M262" s="53">
        <f>M255+M260</f>
        <v>0.20186139620563773</v>
      </c>
      <c r="N262" s="547"/>
      <c r="O262" s="411"/>
      <c r="P262" s="415"/>
      <c r="Q262" s="416"/>
      <c r="R262" s="422"/>
      <c r="S262" s="416"/>
      <c r="AA262" s="410"/>
      <c r="AD262" s="418"/>
    </row>
    <row r="263" spans="3:30" s="409" customFormat="1" ht="14.1" customHeight="1">
      <c r="C263" s="410"/>
      <c r="D263" s="410"/>
      <c r="E263" s="411"/>
      <c r="F263" s="411"/>
      <c r="G263" s="412"/>
      <c r="H263" s="60" t="s">
        <v>246</v>
      </c>
      <c r="I263" s="53">
        <v>0.1</v>
      </c>
      <c r="J263" s="547"/>
      <c r="K263" s="551" t="s">
        <v>246</v>
      </c>
      <c r="L263" s="552"/>
      <c r="M263" s="61">
        <v>0.1</v>
      </c>
      <c r="N263" s="547"/>
      <c r="O263" s="411"/>
      <c r="P263" s="415"/>
      <c r="Q263" s="416"/>
      <c r="R263" s="422"/>
      <c r="S263" s="416"/>
      <c r="AA263" s="410"/>
      <c r="AD263" s="418"/>
    </row>
    <row r="264" spans="3:30" s="409" customFormat="1" ht="14.1" customHeight="1">
      <c r="C264" s="410"/>
      <c r="D264" s="410"/>
      <c r="E264" s="411"/>
      <c r="F264" s="411"/>
      <c r="G264" s="412"/>
      <c r="H264" s="306" t="s">
        <v>247</v>
      </c>
      <c r="I264" s="307">
        <f>(((I262-I261)/2)/I255)*100%</f>
        <v>3.3705173315796137E-2</v>
      </c>
      <c r="J264" s="547"/>
      <c r="K264" s="553" t="s">
        <v>247</v>
      </c>
      <c r="L264" s="554"/>
      <c r="M264" s="307">
        <f>(((M262-M261)/2)/(1-M255)*100%)</f>
        <v>7.7559600857157851E-2</v>
      </c>
      <c r="N264" s="547"/>
      <c r="O264" s="411"/>
      <c r="P264" s="415"/>
      <c r="Q264" s="416"/>
      <c r="R264" s="422"/>
      <c r="S264" s="416"/>
      <c r="AA264" s="410"/>
      <c r="AD264" s="418"/>
    </row>
    <row r="265" spans="3:30" s="409" customFormat="1" ht="14.1" customHeight="1" thickBot="1">
      <c r="C265" s="410"/>
      <c r="D265" s="410"/>
      <c r="E265" s="411"/>
      <c r="F265" s="411"/>
      <c r="G265" s="412"/>
      <c r="H265" s="311" t="s">
        <v>248</v>
      </c>
      <c r="I265" s="312" t="str">
        <f>IF(I264&gt;I263,"Precision not reached","Precision OK")</f>
        <v>Precision OK</v>
      </c>
      <c r="J265" s="548"/>
      <c r="K265" s="311" t="s">
        <v>248</v>
      </c>
      <c r="L265" s="555" t="str">
        <f>IF(M264&gt;M263,"Precision not reached","Precision OK")</f>
        <v>Precision OK</v>
      </c>
      <c r="M265" s="555"/>
      <c r="N265" s="548"/>
      <c r="O265" s="411"/>
      <c r="P265" s="415"/>
      <c r="Q265" s="416"/>
      <c r="R265" s="422"/>
      <c r="S265" s="416"/>
      <c r="AA265" s="410"/>
      <c r="AD265" s="418"/>
    </row>
    <row r="266" spans="3:30" s="409" customFormat="1" ht="14.1" customHeight="1">
      <c r="C266" s="410"/>
      <c r="D266" s="410"/>
      <c r="E266" s="411"/>
      <c r="F266" s="411"/>
      <c r="G266" s="412"/>
      <c r="H266" s="411"/>
      <c r="I266" s="413"/>
      <c r="J266" s="410"/>
      <c r="N266" s="411"/>
      <c r="O266" s="411"/>
      <c r="P266" s="415"/>
      <c r="Q266" s="416"/>
      <c r="R266" s="422"/>
      <c r="S266" s="416"/>
      <c r="AA266" s="410"/>
      <c r="AD266" s="418"/>
    </row>
    <row r="267" spans="3:30" s="409" customFormat="1" ht="14.1" customHeight="1">
      <c r="C267" s="410"/>
      <c r="D267" s="410"/>
      <c r="E267" s="411"/>
      <c r="F267" s="411"/>
      <c r="G267" s="412"/>
      <c r="H267" s="411"/>
      <c r="I267" s="413"/>
      <c r="J267" s="410"/>
      <c r="N267" s="411"/>
      <c r="O267" s="411"/>
      <c r="P267" s="415"/>
      <c r="Q267" s="416"/>
      <c r="R267" s="422"/>
      <c r="S267" s="416"/>
      <c r="AA267" s="410"/>
      <c r="AD267" s="418"/>
    </row>
    <row r="268" spans="3:30" s="409" customFormat="1" ht="14.1" customHeight="1">
      <c r="C268" s="410"/>
      <c r="D268" s="410"/>
      <c r="E268" s="411"/>
      <c r="F268" s="411"/>
      <c r="G268" s="412"/>
      <c r="H268" s="411"/>
      <c r="I268" s="413"/>
      <c r="J268" s="410"/>
      <c r="N268" s="411"/>
      <c r="O268" s="411"/>
      <c r="P268" s="415"/>
      <c r="Q268" s="416"/>
      <c r="R268" s="422"/>
      <c r="S268" s="416"/>
      <c r="AA268" s="410"/>
      <c r="AD268" s="418"/>
    </row>
    <row r="269" spans="3:30" s="409" customFormat="1" ht="14.1" customHeight="1">
      <c r="C269" s="410"/>
      <c r="D269" s="410"/>
      <c r="E269" s="411"/>
      <c r="F269" s="411"/>
      <c r="G269" s="412"/>
      <c r="H269" s="411"/>
      <c r="I269" s="413"/>
      <c r="J269" s="410"/>
      <c r="N269" s="411"/>
      <c r="O269" s="411"/>
      <c r="P269" s="415"/>
      <c r="Q269" s="416"/>
      <c r="R269" s="422"/>
      <c r="S269" s="416"/>
      <c r="AA269" s="410"/>
      <c r="AD269" s="418"/>
    </row>
    <row r="270" spans="3:30" s="409" customFormat="1" ht="14.1" customHeight="1">
      <c r="C270" s="410"/>
      <c r="D270" s="410"/>
      <c r="E270" s="411"/>
      <c r="F270" s="411"/>
      <c r="G270" s="412"/>
      <c r="H270" s="411"/>
      <c r="I270" s="413"/>
      <c r="J270" s="410"/>
      <c r="N270" s="411"/>
      <c r="O270" s="411"/>
      <c r="P270" s="415"/>
      <c r="Q270" s="416"/>
      <c r="R270" s="422"/>
      <c r="S270" s="416"/>
      <c r="AA270" s="410"/>
      <c r="AD270" s="418"/>
    </row>
    <row r="271" spans="3:30" s="409" customFormat="1" ht="14.1" customHeight="1">
      <c r="C271" s="410"/>
      <c r="D271" s="410"/>
      <c r="E271" s="411"/>
      <c r="F271" s="411"/>
      <c r="G271" s="412"/>
      <c r="H271" s="411"/>
      <c r="I271" s="413"/>
      <c r="J271" s="410"/>
      <c r="N271" s="411"/>
      <c r="O271" s="411"/>
      <c r="P271" s="415"/>
      <c r="Q271" s="416"/>
      <c r="R271" s="422"/>
      <c r="S271" s="416"/>
      <c r="AA271" s="410"/>
      <c r="AD271" s="418"/>
    </row>
    <row r="272" spans="3:30" s="409" customFormat="1" ht="14.1" customHeight="1">
      <c r="C272" s="410"/>
      <c r="D272" s="410"/>
      <c r="E272" s="411"/>
      <c r="F272" s="411"/>
      <c r="G272" s="412"/>
      <c r="H272" s="411"/>
      <c r="I272" s="413"/>
      <c r="J272" s="410"/>
      <c r="N272" s="411"/>
      <c r="O272" s="411"/>
      <c r="P272" s="415"/>
      <c r="Q272" s="416"/>
      <c r="R272" s="422"/>
      <c r="S272" s="416"/>
      <c r="AA272" s="410"/>
      <c r="AD272" s="418"/>
    </row>
    <row r="273" spans="3:30" s="409" customFormat="1" ht="14.1" customHeight="1">
      <c r="C273" s="410"/>
      <c r="D273" s="410"/>
      <c r="E273" s="411"/>
      <c r="F273" s="411"/>
      <c r="G273" s="412"/>
      <c r="H273" s="411"/>
      <c r="I273" s="413"/>
      <c r="J273" s="410"/>
      <c r="N273" s="411"/>
      <c r="O273" s="411"/>
      <c r="P273" s="415"/>
      <c r="Q273" s="416"/>
      <c r="R273" s="422"/>
      <c r="S273" s="416"/>
      <c r="AA273" s="410"/>
      <c r="AD273" s="418"/>
    </row>
    <row r="274" spans="3:30" s="409" customFormat="1" ht="14.1" customHeight="1">
      <c r="C274" s="410"/>
      <c r="D274" s="410"/>
      <c r="E274" s="411"/>
      <c r="F274" s="411"/>
      <c r="G274" s="412"/>
      <c r="H274" s="411"/>
      <c r="I274" s="413"/>
      <c r="J274" s="410"/>
      <c r="N274" s="411"/>
      <c r="O274" s="411"/>
      <c r="P274" s="415"/>
      <c r="Q274" s="416"/>
      <c r="R274" s="422"/>
      <c r="S274" s="416"/>
      <c r="AA274" s="410"/>
      <c r="AD274" s="418"/>
    </row>
    <row r="275" spans="3:30" s="409" customFormat="1" ht="14.1" customHeight="1">
      <c r="C275" s="410"/>
      <c r="D275" s="410"/>
      <c r="E275" s="411"/>
      <c r="F275" s="411"/>
      <c r="G275" s="412"/>
      <c r="H275" s="411"/>
      <c r="I275" s="413"/>
      <c r="J275" s="410"/>
      <c r="N275" s="411"/>
      <c r="O275" s="411"/>
      <c r="P275" s="415"/>
      <c r="Q275" s="416"/>
      <c r="R275" s="422"/>
      <c r="S275" s="416"/>
      <c r="AA275" s="410"/>
      <c r="AD275" s="418"/>
    </row>
    <row r="276" spans="3:30" s="409" customFormat="1" ht="14.1" customHeight="1">
      <c r="C276" s="410"/>
      <c r="D276" s="410"/>
      <c r="E276" s="411"/>
      <c r="F276" s="411"/>
      <c r="G276" s="412"/>
      <c r="H276" s="411"/>
      <c r="I276" s="413"/>
      <c r="J276" s="410"/>
      <c r="N276" s="411"/>
      <c r="O276" s="411"/>
      <c r="P276" s="415"/>
      <c r="Q276" s="416"/>
      <c r="R276" s="422"/>
      <c r="S276" s="416"/>
      <c r="AA276" s="410"/>
      <c r="AD276" s="418"/>
    </row>
    <row r="277" spans="3:30" s="409" customFormat="1" ht="14.1" customHeight="1">
      <c r="C277" s="410"/>
      <c r="D277" s="410"/>
      <c r="E277" s="411"/>
      <c r="F277" s="411"/>
      <c r="G277" s="412"/>
      <c r="H277" s="411"/>
      <c r="I277" s="413"/>
      <c r="J277" s="410"/>
      <c r="N277" s="411"/>
      <c r="O277" s="411"/>
      <c r="P277" s="415"/>
      <c r="Q277" s="416"/>
      <c r="R277" s="422"/>
      <c r="S277" s="416"/>
      <c r="AA277" s="410"/>
      <c r="AD277" s="418"/>
    </row>
    <row r="278" spans="3:30" s="409" customFormat="1" ht="14.1" customHeight="1">
      <c r="C278" s="410"/>
      <c r="D278" s="410"/>
      <c r="E278" s="411"/>
      <c r="F278" s="411"/>
      <c r="G278" s="412"/>
      <c r="H278" s="411"/>
      <c r="I278" s="413"/>
      <c r="J278" s="410"/>
      <c r="N278" s="411"/>
      <c r="O278" s="411"/>
      <c r="P278" s="415"/>
      <c r="Q278" s="416"/>
      <c r="R278" s="422"/>
      <c r="S278" s="416"/>
      <c r="AA278" s="410"/>
      <c r="AD278" s="418"/>
    </row>
    <row r="279" spans="3:30" s="409" customFormat="1" ht="14.1" customHeight="1">
      <c r="C279" s="410"/>
      <c r="D279" s="410"/>
      <c r="E279" s="411"/>
      <c r="F279" s="411"/>
      <c r="G279" s="412"/>
      <c r="H279" s="411"/>
      <c r="I279" s="413"/>
      <c r="J279" s="410"/>
      <c r="N279" s="411"/>
      <c r="O279" s="411"/>
      <c r="P279" s="415"/>
      <c r="Q279" s="416"/>
      <c r="R279" s="422"/>
      <c r="S279" s="416"/>
      <c r="AA279" s="410"/>
      <c r="AD279" s="418"/>
    </row>
    <row r="280" spans="3:30" s="409" customFormat="1" ht="14.1" customHeight="1">
      <c r="C280" s="410"/>
      <c r="D280" s="410"/>
      <c r="E280" s="411"/>
      <c r="F280" s="411"/>
      <c r="G280" s="412"/>
      <c r="H280" s="411"/>
      <c r="I280" s="413"/>
      <c r="J280" s="410"/>
      <c r="N280" s="411"/>
      <c r="O280" s="411"/>
      <c r="P280" s="415"/>
      <c r="Q280" s="416"/>
      <c r="R280" s="422"/>
      <c r="S280" s="416"/>
      <c r="AA280" s="410"/>
      <c r="AD280" s="418"/>
    </row>
    <row r="281" spans="3:30" s="409" customFormat="1" ht="14.1" customHeight="1">
      <c r="C281" s="410"/>
      <c r="D281" s="410"/>
      <c r="E281" s="411"/>
      <c r="F281" s="411"/>
      <c r="G281" s="412"/>
      <c r="H281" s="411"/>
      <c r="I281" s="413"/>
      <c r="J281" s="410"/>
      <c r="N281" s="411"/>
      <c r="O281" s="411"/>
      <c r="P281" s="415"/>
      <c r="Q281" s="416"/>
      <c r="R281" s="422"/>
      <c r="S281" s="416"/>
      <c r="AA281" s="410"/>
      <c r="AD281" s="418"/>
    </row>
    <row r="282" spans="3:30" s="409" customFormat="1" ht="14.1" customHeight="1">
      <c r="C282" s="410"/>
      <c r="D282" s="410"/>
      <c r="E282" s="411"/>
      <c r="F282" s="411"/>
      <c r="G282" s="412"/>
      <c r="H282" s="411"/>
      <c r="I282" s="413"/>
      <c r="J282" s="410"/>
      <c r="N282" s="411"/>
      <c r="O282" s="411"/>
      <c r="P282" s="415"/>
      <c r="Q282" s="416"/>
      <c r="R282" s="422"/>
      <c r="S282" s="416"/>
      <c r="AA282" s="410"/>
      <c r="AD282" s="418"/>
    </row>
    <row r="283" spans="3:30" s="409" customFormat="1" ht="14.1" customHeight="1">
      <c r="C283" s="410"/>
      <c r="D283" s="410"/>
      <c r="E283" s="411"/>
      <c r="F283" s="411"/>
      <c r="G283" s="412"/>
      <c r="H283" s="411"/>
      <c r="I283" s="413"/>
      <c r="J283" s="410"/>
      <c r="N283" s="411"/>
      <c r="O283" s="411"/>
      <c r="P283" s="415"/>
      <c r="Q283" s="416"/>
      <c r="R283" s="422"/>
      <c r="S283" s="416"/>
      <c r="AA283" s="410"/>
      <c r="AD283" s="418"/>
    </row>
    <row r="284" spans="3:30" s="409" customFormat="1" ht="14.1" customHeight="1">
      <c r="C284" s="410"/>
      <c r="D284" s="410"/>
      <c r="E284" s="411"/>
      <c r="F284" s="411"/>
      <c r="G284" s="412"/>
      <c r="H284" s="411"/>
      <c r="I284" s="413"/>
      <c r="J284" s="410"/>
      <c r="N284" s="411"/>
      <c r="O284" s="411"/>
      <c r="P284" s="415"/>
      <c r="Q284" s="416"/>
      <c r="R284" s="422"/>
      <c r="S284" s="416"/>
      <c r="AA284" s="410"/>
      <c r="AD284" s="418"/>
    </row>
    <row r="285" spans="3:30" s="409" customFormat="1" ht="14.1" customHeight="1">
      <c r="C285" s="410"/>
      <c r="D285" s="410"/>
      <c r="E285" s="411"/>
      <c r="F285" s="411"/>
      <c r="G285" s="412"/>
      <c r="H285" s="411"/>
      <c r="I285" s="413"/>
      <c r="J285" s="410"/>
      <c r="N285" s="411"/>
      <c r="O285" s="411"/>
      <c r="P285" s="415"/>
      <c r="Q285" s="416"/>
      <c r="R285" s="422"/>
      <c r="S285" s="416"/>
      <c r="AA285" s="410"/>
      <c r="AD285" s="418"/>
    </row>
    <row r="286" spans="3:30" s="409" customFormat="1" ht="14.1" customHeight="1">
      <c r="C286" s="410"/>
      <c r="D286" s="410"/>
      <c r="E286" s="411"/>
      <c r="F286" s="411"/>
      <c r="G286" s="412"/>
      <c r="H286" s="411"/>
      <c r="I286" s="413"/>
      <c r="J286" s="410"/>
      <c r="N286" s="411"/>
      <c r="O286" s="411"/>
      <c r="P286" s="415"/>
      <c r="Q286" s="416"/>
      <c r="R286" s="422"/>
      <c r="S286" s="416"/>
      <c r="AA286" s="410"/>
      <c r="AD286" s="418"/>
    </row>
    <row r="287" spans="3:30" s="409" customFormat="1" ht="14.1" customHeight="1">
      <c r="C287" s="410"/>
      <c r="D287" s="410"/>
      <c r="E287" s="411"/>
      <c r="F287" s="411"/>
      <c r="G287" s="412"/>
      <c r="H287" s="411"/>
      <c r="I287" s="413"/>
      <c r="J287" s="410"/>
      <c r="N287" s="411"/>
      <c r="O287" s="411"/>
      <c r="P287" s="415"/>
      <c r="Q287" s="416"/>
      <c r="R287" s="422"/>
      <c r="S287" s="416"/>
      <c r="AA287" s="410"/>
      <c r="AD287" s="418"/>
    </row>
    <row r="288" spans="3:30" s="409" customFormat="1" ht="14.1" customHeight="1">
      <c r="C288" s="410"/>
      <c r="D288" s="410"/>
      <c r="E288" s="411"/>
      <c r="F288" s="411"/>
      <c r="G288" s="412"/>
      <c r="H288" s="411"/>
      <c r="I288" s="413"/>
      <c r="J288" s="410"/>
      <c r="N288" s="411"/>
      <c r="O288" s="411"/>
      <c r="P288" s="415"/>
      <c r="Q288" s="416"/>
      <c r="R288" s="422"/>
      <c r="S288" s="416"/>
      <c r="AA288" s="410"/>
      <c r="AD288" s="418"/>
    </row>
    <row r="289" spans="3:30" s="409" customFormat="1" ht="14.1" customHeight="1">
      <c r="C289" s="410"/>
      <c r="D289" s="410"/>
      <c r="E289" s="411"/>
      <c r="F289" s="411"/>
      <c r="G289" s="412"/>
      <c r="H289" s="411"/>
      <c r="I289" s="413"/>
      <c r="J289" s="410"/>
      <c r="N289" s="411"/>
      <c r="O289" s="411"/>
      <c r="P289" s="415"/>
      <c r="Q289" s="416"/>
      <c r="R289" s="422"/>
      <c r="S289" s="416"/>
      <c r="AA289" s="410"/>
      <c r="AD289" s="418"/>
    </row>
    <row r="290" spans="3:30" s="409" customFormat="1" ht="14.1" customHeight="1">
      <c r="C290" s="410"/>
      <c r="D290" s="410"/>
      <c r="E290" s="411"/>
      <c r="F290" s="411"/>
      <c r="G290" s="412"/>
      <c r="H290" s="411"/>
      <c r="I290" s="413"/>
      <c r="J290" s="410"/>
      <c r="N290" s="411"/>
      <c r="O290" s="411"/>
      <c r="P290" s="415"/>
      <c r="Q290" s="416"/>
      <c r="R290" s="422"/>
      <c r="S290" s="416"/>
      <c r="AA290" s="410"/>
      <c r="AD290" s="418"/>
    </row>
    <row r="291" spans="3:30" s="409" customFormat="1" ht="14.1" customHeight="1">
      <c r="C291" s="410"/>
      <c r="D291" s="410"/>
      <c r="E291" s="411"/>
      <c r="F291" s="411"/>
      <c r="G291" s="412"/>
      <c r="H291" s="411"/>
      <c r="I291" s="413"/>
      <c r="J291" s="410"/>
      <c r="N291" s="411"/>
      <c r="O291" s="411"/>
      <c r="P291" s="415"/>
      <c r="Q291" s="416"/>
      <c r="R291" s="422"/>
      <c r="S291" s="416"/>
      <c r="AA291" s="410"/>
      <c r="AD291" s="418"/>
    </row>
    <row r="292" spans="3:30" s="409" customFormat="1" ht="14.1" customHeight="1">
      <c r="C292" s="410"/>
      <c r="D292" s="410"/>
      <c r="E292" s="411"/>
      <c r="F292" s="411"/>
      <c r="G292" s="412"/>
      <c r="H292" s="411"/>
      <c r="I292" s="413"/>
      <c r="J292" s="410"/>
      <c r="N292" s="411"/>
      <c r="O292" s="411"/>
      <c r="P292" s="415"/>
      <c r="Q292" s="416"/>
      <c r="R292" s="422"/>
      <c r="S292" s="416"/>
      <c r="AA292" s="410"/>
      <c r="AD292" s="418"/>
    </row>
    <row r="293" spans="3:30" s="409" customFormat="1" ht="14.1" customHeight="1">
      <c r="C293" s="410"/>
      <c r="D293" s="410"/>
      <c r="E293" s="411"/>
      <c r="F293" s="411"/>
      <c r="G293" s="412"/>
      <c r="H293" s="411"/>
      <c r="I293" s="413"/>
      <c r="J293" s="410"/>
      <c r="N293" s="411"/>
      <c r="O293" s="411"/>
      <c r="P293" s="415"/>
      <c r="Q293" s="416"/>
      <c r="R293" s="422"/>
      <c r="S293" s="416"/>
      <c r="AA293" s="410"/>
      <c r="AD293" s="418"/>
    </row>
    <row r="294" spans="3:30" s="409" customFormat="1" ht="14.1" customHeight="1">
      <c r="C294" s="410"/>
      <c r="D294" s="410"/>
      <c r="E294" s="411"/>
      <c r="F294" s="411"/>
      <c r="G294" s="412"/>
      <c r="H294" s="411"/>
      <c r="I294" s="413"/>
      <c r="J294" s="410"/>
      <c r="N294" s="411"/>
      <c r="O294" s="411"/>
      <c r="P294" s="415"/>
      <c r="Q294" s="416"/>
      <c r="R294" s="422"/>
      <c r="S294" s="416"/>
      <c r="AA294" s="410"/>
      <c r="AD294" s="418"/>
    </row>
    <row r="295" spans="3:30" s="409" customFormat="1" ht="14.1" customHeight="1">
      <c r="C295" s="410"/>
      <c r="D295" s="410"/>
      <c r="E295" s="411"/>
      <c r="F295" s="411"/>
      <c r="G295" s="412"/>
      <c r="H295" s="411"/>
      <c r="I295" s="413"/>
      <c r="J295" s="410"/>
      <c r="N295" s="411"/>
      <c r="O295" s="411"/>
      <c r="P295" s="415"/>
      <c r="Q295" s="416"/>
      <c r="R295" s="422"/>
      <c r="S295" s="416"/>
      <c r="AA295" s="410"/>
      <c r="AD295" s="418"/>
    </row>
    <row r="296" spans="3:30" s="409" customFormat="1" ht="14.1" customHeight="1">
      <c r="C296" s="410"/>
      <c r="D296" s="410"/>
      <c r="E296" s="411"/>
      <c r="F296" s="411"/>
      <c r="G296" s="412"/>
      <c r="H296" s="411"/>
      <c r="I296" s="413"/>
      <c r="J296" s="410"/>
      <c r="N296" s="411"/>
      <c r="O296" s="411"/>
      <c r="P296" s="415"/>
      <c r="Q296" s="416"/>
      <c r="R296" s="422"/>
      <c r="S296" s="416"/>
      <c r="AA296" s="410"/>
      <c r="AD296" s="418"/>
    </row>
    <row r="297" spans="3:30" s="409" customFormat="1" ht="14.1" customHeight="1">
      <c r="C297" s="410"/>
      <c r="D297" s="410"/>
      <c r="E297" s="411"/>
      <c r="F297" s="411"/>
      <c r="G297" s="412"/>
      <c r="H297" s="411"/>
      <c r="I297" s="413"/>
      <c r="J297" s="410"/>
      <c r="N297" s="411"/>
      <c r="O297" s="411"/>
      <c r="P297" s="415"/>
      <c r="Q297" s="416"/>
      <c r="R297" s="422"/>
      <c r="S297" s="416"/>
      <c r="AA297" s="410"/>
      <c r="AD297" s="418"/>
    </row>
    <row r="298" spans="3:30" s="409" customFormat="1" ht="14.1" customHeight="1">
      <c r="C298" s="410"/>
      <c r="D298" s="410"/>
      <c r="E298" s="411"/>
      <c r="F298" s="411"/>
      <c r="G298" s="412"/>
      <c r="H298" s="411"/>
      <c r="I298" s="413"/>
      <c r="J298" s="410"/>
      <c r="N298" s="411"/>
      <c r="O298" s="411"/>
      <c r="P298" s="415"/>
      <c r="Q298" s="416"/>
      <c r="R298" s="422"/>
      <c r="S298" s="416"/>
      <c r="AA298" s="410"/>
      <c r="AD298" s="418"/>
    </row>
    <row r="299" spans="3:30" s="409" customFormat="1" ht="14.1" customHeight="1">
      <c r="C299" s="410"/>
      <c r="D299" s="410"/>
      <c r="E299" s="411"/>
      <c r="F299" s="411"/>
      <c r="G299" s="412"/>
      <c r="H299" s="411"/>
      <c r="I299" s="413"/>
      <c r="J299" s="410"/>
      <c r="N299" s="411"/>
      <c r="O299" s="411"/>
      <c r="P299" s="415"/>
      <c r="Q299" s="416"/>
      <c r="R299" s="422"/>
      <c r="S299" s="416"/>
      <c r="AA299" s="410"/>
      <c r="AD299" s="418"/>
    </row>
    <row r="300" spans="3:30" s="409" customFormat="1" ht="14.1" customHeight="1">
      <c r="C300" s="410"/>
      <c r="D300" s="410"/>
      <c r="E300" s="411"/>
      <c r="F300" s="411"/>
      <c r="G300" s="412"/>
      <c r="H300" s="411"/>
      <c r="I300" s="413"/>
      <c r="J300" s="410"/>
      <c r="N300" s="411"/>
      <c r="O300" s="411"/>
      <c r="P300" s="415"/>
      <c r="Q300" s="416"/>
      <c r="R300" s="422"/>
      <c r="S300" s="416"/>
      <c r="AA300" s="410"/>
      <c r="AD300" s="418"/>
    </row>
    <row r="301" spans="3:30" s="409" customFormat="1" ht="14.1" customHeight="1">
      <c r="C301" s="410"/>
      <c r="D301" s="410"/>
      <c r="E301" s="411"/>
      <c r="F301" s="411"/>
      <c r="G301" s="412"/>
      <c r="H301" s="411"/>
      <c r="I301" s="413"/>
      <c r="J301" s="410"/>
      <c r="N301" s="411"/>
      <c r="O301" s="411"/>
      <c r="P301" s="415"/>
      <c r="Q301" s="416"/>
      <c r="R301" s="422"/>
      <c r="S301" s="416"/>
      <c r="AA301" s="410"/>
      <c r="AD301" s="418"/>
    </row>
    <row r="302" spans="3:30" s="409" customFormat="1" ht="14.1" customHeight="1">
      <c r="C302" s="410"/>
      <c r="D302" s="410"/>
      <c r="E302" s="411"/>
      <c r="F302" s="411"/>
      <c r="G302" s="412"/>
      <c r="H302" s="411"/>
      <c r="I302" s="413"/>
      <c r="J302" s="410"/>
      <c r="N302" s="411"/>
      <c r="O302" s="411"/>
      <c r="P302" s="415"/>
      <c r="Q302" s="416"/>
      <c r="R302" s="422"/>
      <c r="S302" s="416"/>
      <c r="AA302" s="410"/>
      <c r="AD302" s="418"/>
    </row>
    <row r="303" spans="3:30" s="409" customFormat="1" ht="14.1" customHeight="1">
      <c r="C303" s="410"/>
      <c r="D303" s="410"/>
      <c r="E303" s="411"/>
      <c r="F303" s="411"/>
      <c r="G303" s="412"/>
      <c r="H303" s="411"/>
      <c r="I303" s="413"/>
      <c r="J303" s="410"/>
      <c r="N303" s="411"/>
      <c r="O303" s="411"/>
      <c r="P303" s="415"/>
      <c r="Q303" s="416"/>
      <c r="R303" s="422"/>
      <c r="S303" s="416"/>
      <c r="AA303" s="410"/>
      <c r="AD303" s="418"/>
    </row>
    <row r="304" spans="3:30" s="409" customFormat="1" ht="14.1" customHeight="1">
      <c r="C304" s="410"/>
      <c r="D304" s="410"/>
      <c r="E304" s="411"/>
      <c r="F304" s="411"/>
      <c r="G304" s="412"/>
      <c r="H304" s="411"/>
      <c r="I304" s="413"/>
      <c r="J304" s="410"/>
      <c r="N304" s="411"/>
      <c r="O304" s="411"/>
      <c r="P304" s="415"/>
      <c r="Q304" s="416"/>
      <c r="R304" s="422"/>
      <c r="S304" s="416"/>
      <c r="AA304" s="410"/>
      <c r="AD304" s="418"/>
    </row>
    <row r="305" spans="3:30" s="409" customFormat="1" ht="14.1" customHeight="1">
      <c r="C305" s="410"/>
      <c r="D305" s="410"/>
      <c r="E305" s="411"/>
      <c r="F305" s="411"/>
      <c r="G305" s="412"/>
      <c r="H305" s="411"/>
      <c r="I305" s="413"/>
      <c r="J305" s="410"/>
      <c r="N305" s="411"/>
      <c r="O305" s="411"/>
      <c r="P305" s="415"/>
      <c r="Q305" s="416"/>
      <c r="R305" s="422"/>
      <c r="S305" s="416"/>
      <c r="AA305" s="410"/>
      <c r="AD305" s="418"/>
    </row>
    <row r="306" spans="3:30" s="409" customFormat="1" ht="14.1" customHeight="1">
      <c r="C306" s="410"/>
      <c r="D306" s="410"/>
      <c r="E306" s="411"/>
      <c r="F306" s="411"/>
      <c r="G306" s="412"/>
      <c r="H306" s="411"/>
      <c r="I306" s="413"/>
      <c r="J306" s="410"/>
      <c r="N306" s="411"/>
      <c r="O306" s="411"/>
      <c r="P306" s="415"/>
      <c r="Q306" s="416"/>
      <c r="R306" s="422"/>
      <c r="S306" s="416"/>
      <c r="AA306" s="410"/>
      <c r="AD306" s="418"/>
    </row>
    <row r="307" spans="3:30" s="409" customFormat="1" ht="14.1" customHeight="1">
      <c r="C307" s="410"/>
      <c r="D307" s="410"/>
      <c r="E307" s="411"/>
      <c r="F307" s="411"/>
      <c r="G307" s="412"/>
      <c r="H307" s="411"/>
      <c r="I307" s="413"/>
      <c r="J307" s="410"/>
      <c r="N307" s="411"/>
      <c r="O307" s="411"/>
      <c r="P307" s="415"/>
      <c r="Q307" s="416"/>
      <c r="R307" s="422"/>
      <c r="S307" s="416"/>
      <c r="AA307" s="410"/>
      <c r="AD307" s="418"/>
    </row>
    <row r="308" spans="3:30" s="409" customFormat="1" ht="14.1" customHeight="1">
      <c r="C308" s="410"/>
      <c r="D308" s="410"/>
      <c r="E308" s="411"/>
      <c r="F308" s="411"/>
      <c r="G308" s="412"/>
      <c r="H308" s="411"/>
      <c r="I308" s="413"/>
      <c r="J308" s="410"/>
      <c r="N308" s="411"/>
      <c r="O308" s="411"/>
      <c r="P308" s="415"/>
      <c r="Q308" s="416"/>
      <c r="R308" s="422"/>
      <c r="S308" s="416"/>
      <c r="AA308" s="410"/>
      <c r="AD308" s="418"/>
    </row>
    <row r="309" spans="3:30" s="409" customFormat="1" ht="14.1" customHeight="1">
      <c r="C309" s="410"/>
      <c r="D309" s="410"/>
      <c r="E309" s="411"/>
      <c r="F309" s="411"/>
      <c r="G309" s="412"/>
      <c r="H309" s="411"/>
      <c r="I309" s="413"/>
      <c r="J309" s="410"/>
      <c r="N309" s="411"/>
      <c r="O309" s="411"/>
      <c r="P309" s="415"/>
      <c r="Q309" s="416"/>
      <c r="R309" s="422"/>
      <c r="S309" s="416"/>
      <c r="AA309" s="410"/>
      <c r="AD309" s="418"/>
    </row>
    <row r="310" spans="3:30" s="409" customFormat="1" ht="14.1" customHeight="1">
      <c r="C310" s="410"/>
      <c r="D310" s="410"/>
      <c r="E310" s="411"/>
      <c r="F310" s="411"/>
      <c r="G310" s="412"/>
      <c r="H310" s="411"/>
      <c r="I310" s="413"/>
      <c r="J310" s="410"/>
      <c r="N310" s="411"/>
      <c r="O310" s="411"/>
      <c r="P310" s="415"/>
      <c r="Q310" s="416"/>
      <c r="R310" s="422"/>
      <c r="S310" s="416"/>
      <c r="AA310" s="410"/>
      <c r="AD310" s="418"/>
    </row>
    <row r="311" spans="3:30" s="409" customFormat="1" ht="14.1" customHeight="1">
      <c r="C311" s="410"/>
      <c r="D311" s="410"/>
      <c r="E311" s="411"/>
      <c r="F311" s="411"/>
      <c r="G311" s="412"/>
      <c r="H311" s="411"/>
      <c r="I311" s="413"/>
      <c r="J311" s="410"/>
      <c r="N311" s="411"/>
      <c r="O311" s="411"/>
      <c r="P311" s="415"/>
      <c r="Q311" s="416"/>
      <c r="R311" s="422"/>
      <c r="S311" s="416"/>
      <c r="AA311" s="410"/>
      <c r="AD311" s="418"/>
    </row>
    <row r="312" spans="3:30" s="409" customFormat="1" ht="14.1" customHeight="1">
      <c r="C312" s="410"/>
      <c r="D312" s="410"/>
      <c r="E312" s="411"/>
      <c r="F312" s="411"/>
      <c r="G312" s="412"/>
      <c r="H312" s="411"/>
      <c r="I312" s="413"/>
      <c r="J312" s="410"/>
      <c r="N312" s="411"/>
      <c r="O312" s="411"/>
      <c r="P312" s="415"/>
      <c r="Q312" s="416"/>
      <c r="R312" s="422"/>
      <c r="S312" s="416"/>
      <c r="AA312" s="410"/>
      <c r="AD312" s="418"/>
    </row>
    <row r="313" spans="3:30" s="409" customFormat="1" ht="14.1" customHeight="1">
      <c r="C313" s="410"/>
      <c r="D313" s="410"/>
      <c r="E313" s="411"/>
      <c r="F313" s="411"/>
      <c r="G313" s="412"/>
      <c r="H313" s="411"/>
      <c r="I313" s="413"/>
      <c r="J313" s="410"/>
      <c r="N313" s="411"/>
      <c r="O313" s="411"/>
      <c r="P313" s="415"/>
      <c r="Q313" s="416"/>
      <c r="R313" s="422"/>
      <c r="S313" s="416"/>
      <c r="AA313" s="410"/>
      <c r="AD313" s="418"/>
    </row>
    <row r="314" spans="3:30" s="409" customFormat="1" ht="14.1" customHeight="1">
      <c r="C314" s="410"/>
      <c r="D314" s="410"/>
      <c r="E314" s="411"/>
      <c r="F314" s="411"/>
      <c r="G314" s="412"/>
      <c r="H314" s="411"/>
      <c r="I314" s="413"/>
      <c r="J314" s="410"/>
      <c r="N314" s="411"/>
      <c r="O314" s="411"/>
      <c r="P314" s="415"/>
      <c r="Q314" s="416"/>
      <c r="R314" s="422"/>
      <c r="S314" s="416"/>
      <c r="AA314" s="410"/>
      <c r="AD314" s="418"/>
    </row>
    <row r="315" spans="3:30" s="409" customFormat="1" ht="14.1" customHeight="1">
      <c r="C315" s="410"/>
      <c r="D315" s="410"/>
      <c r="E315" s="411"/>
      <c r="F315" s="411"/>
      <c r="G315" s="412"/>
      <c r="H315" s="411"/>
      <c r="I315" s="413"/>
      <c r="J315" s="410"/>
      <c r="N315" s="411"/>
      <c r="O315" s="411"/>
      <c r="P315" s="415"/>
      <c r="Q315" s="416"/>
      <c r="R315" s="422"/>
      <c r="S315" s="416"/>
      <c r="AA315" s="410"/>
      <c r="AD315" s="418"/>
    </row>
    <row r="316" spans="3:30" s="409" customFormat="1" ht="14.1" customHeight="1">
      <c r="C316" s="410"/>
      <c r="D316" s="410"/>
      <c r="E316" s="411"/>
      <c r="F316" s="411"/>
      <c r="G316" s="412"/>
      <c r="H316" s="411"/>
      <c r="I316" s="413"/>
      <c r="J316" s="410"/>
      <c r="N316" s="411"/>
      <c r="O316" s="411"/>
      <c r="P316" s="415"/>
      <c r="Q316" s="416"/>
      <c r="R316" s="422"/>
      <c r="S316" s="416"/>
      <c r="AA316" s="410"/>
      <c r="AD316" s="418"/>
    </row>
    <row r="317" spans="3:30" s="409" customFormat="1" ht="14.1" customHeight="1">
      <c r="C317" s="410"/>
      <c r="D317" s="410"/>
      <c r="E317" s="411"/>
      <c r="F317" s="411"/>
      <c r="G317" s="412"/>
      <c r="H317" s="411"/>
      <c r="I317" s="413"/>
      <c r="J317" s="410"/>
      <c r="N317" s="411"/>
      <c r="O317" s="411"/>
      <c r="P317" s="415"/>
      <c r="Q317" s="416"/>
      <c r="R317" s="422"/>
      <c r="S317" s="416"/>
      <c r="AA317" s="410"/>
      <c r="AD317" s="418"/>
    </row>
    <row r="318" spans="3:30" s="409" customFormat="1" ht="14.1" customHeight="1">
      <c r="C318" s="410"/>
      <c r="D318" s="410"/>
      <c r="E318" s="411"/>
      <c r="F318" s="411"/>
      <c r="G318" s="412"/>
      <c r="H318" s="411"/>
      <c r="I318" s="413"/>
      <c r="J318" s="410"/>
      <c r="N318" s="411"/>
      <c r="O318" s="411"/>
      <c r="P318" s="415"/>
      <c r="Q318" s="416"/>
      <c r="R318" s="422"/>
      <c r="S318" s="416"/>
      <c r="AA318" s="410"/>
      <c r="AD318" s="418"/>
    </row>
    <row r="319" spans="3:30" s="409" customFormat="1" ht="14.1" customHeight="1">
      <c r="C319" s="410"/>
      <c r="D319" s="410"/>
      <c r="E319" s="411"/>
      <c r="F319" s="411"/>
      <c r="G319" s="412"/>
      <c r="H319" s="411"/>
      <c r="I319" s="413"/>
      <c r="J319" s="410"/>
      <c r="N319" s="411"/>
      <c r="O319" s="411"/>
      <c r="P319" s="415"/>
      <c r="Q319" s="416"/>
      <c r="R319" s="422"/>
      <c r="S319" s="416"/>
      <c r="AA319" s="410"/>
      <c r="AD319" s="418"/>
    </row>
    <row r="320" spans="3:30" s="409" customFormat="1" ht="14.1" customHeight="1">
      <c r="C320" s="410"/>
      <c r="D320" s="410"/>
      <c r="E320" s="411"/>
      <c r="F320" s="411"/>
      <c r="G320" s="412"/>
      <c r="H320" s="411"/>
      <c r="I320" s="413"/>
      <c r="J320" s="410"/>
      <c r="N320" s="411"/>
      <c r="O320" s="411"/>
      <c r="P320" s="415"/>
      <c r="Q320" s="416"/>
      <c r="R320" s="422"/>
      <c r="S320" s="416"/>
      <c r="AA320" s="410"/>
      <c r="AD320" s="418"/>
    </row>
    <row r="321" spans="3:30" s="409" customFormat="1" ht="14.1" customHeight="1">
      <c r="C321" s="410"/>
      <c r="D321" s="410"/>
      <c r="E321" s="411"/>
      <c r="F321" s="411"/>
      <c r="G321" s="412"/>
      <c r="H321" s="411"/>
      <c r="I321" s="413"/>
      <c r="J321" s="410"/>
      <c r="N321" s="411"/>
      <c r="O321" s="411"/>
      <c r="P321" s="415"/>
      <c r="Q321" s="416"/>
      <c r="R321" s="422"/>
      <c r="S321" s="416"/>
      <c r="AA321" s="410"/>
      <c r="AD321" s="418"/>
    </row>
    <row r="322" spans="3:30" s="409" customFormat="1" ht="14.1" customHeight="1">
      <c r="C322" s="410"/>
      <c r="D322" s="410"/>
      <c r="E322" s="411"/>
      <c r="F322" s="411"/>
      <c r="G322" s="412"/>
      <c r="H322" s="411"/>
      <c r="I322" s="413"/>
      <c r="J322" s="410"/>
      <c r="N322" s="411"/>
      <c r="O322" s="411"/>
      <c r="P322" s="415"/>
      <c r="Q322" s="416"/>
      <c r="R322" s="422"/>
      <c r="S322" s="416"/>
      <c r="AA322" s="410"/>
      <c r="AD322" s="418"/>
    </row>
    <row r="323" spans="3:30" s="409" customFormat="1" ht="14.1" customHeight="1">
      <c r="C323" s="410"/>
      <c r="D323" s="410"/>
      <c r="E323" s="411"/>
      <c r="F323" s="411"/>
      <c r="G323" s="412"/>
      <c r="H323" s="411"/>
      <c r="I323" s="413"/>
      <c r="J323" s="410"/>
      <c r="N323" s="411"/>
      <c r="O323" s="411"/>
      <c r="P323" s="415"/>
      <c r="Q323" s="416"/>
      <c r="R323" s="422"/>
      <c r="S323" s="416"/>
      <c r="AA323" s="410"/>
      <c r="AD323" s="418"/>
    </row>
    <row r="324" spans="3:30" s="409" customFormat="1" ht="14.1" customHeight="1">
      <c r="C324" s="410"/>
      <c r="D324" s="410"/>
      <c r="E324" s="411"/>
      <c r="F324" s="411"/>
      <c r="G324" s="412"/>
      <c r="H324" s="411"/>
      <c r="I324" s="413"/>
      <c r="J324" s="410"/>
      <c r="N324" s="411"/>
      <c r="O324" s="411"/>
      <c r="P324" s="415"/>
      <c r="Q324" s="416"/>
      <c r="R324" s="422"/>
      <c r="S324" s="416"/>
      <c r="AA324" s="410"/>
      <c r="AD324" s="418"/>
    </row>
    <row r="325" spans="3:30" s="409" customFormat="1" ht="14.1" customHeight="1">
      <c r="C325" s="410"/>
      <c r="D325" s="410"/>
      <c r="E325" s="411"/>
      <c r="F325" s="411"/>
      <c r="G325" s="412"/>
      <c r="H325" s="411"/>
      <c r="I325" s="413"/>
      <c r="J325" s="410"/>
      <c r="N325" s="411"/>
      <c r="O325" s="411"/>
      <c r="P325" s="415"/>
      <c r="Q325" s="416"/>
      <c r="R325" s="422"/>
      <c r="S325" s="416"/>
      <c r="AA325" s="410"/>
      <c r="AD325" s="418"/>
    </row>
    <row r="326" spans="3:30" s="409" customFormat="1" ht="14.1" customHeight="1">
      <c r="C326" s="410"/>
      <c r="D326" s="410"/>
      <c r="E326" s="411"/>
      <c r="F326" s="411"/>
      <c r="G326" s="412"/>
      <c r="H326" s="411"/>
      <c r="I326" s="413"/>
      <c r="J326" s="410"/>
      <c r="N326" s="411"/>
      <c r="O326" s="411"/>
      <c r="P326" s="415"/>
      <c r="Q326" s="416"/>
      <c r="R326" s="422"/>
      <c r="S326" s="416"/>
      <c r="AA326" s="410"/>
      <c r="AD326" s="418"/>
    </row>
    <row r="327" spans="3:30" s="409" customFormat="1" ht="14.1" customHeight="1">
      <c r="C327" s="410"/>
      <c r="D327" s="410"/>
      <c r="E327" s="411"/>
      <c r="F327" s="411"/>
      <c r="G327" s="412"/>
      <c r="H327" s="411"/>
      <c r="I327" s="413"/>
      <c r="J327" s="410"/>
      <c r="N327" s="411"/>
      <c r="O327" s="411"/>
      <c r="P327" s="415"/>
      <c r="Q327" s="416"/>
      <c r="R327" s="422"/>
      <c r="S327" s="416"/>
      <c r="AA327" s="410"/>
      <c r="AD327" s="418"/>
    </row>
    <row r="328" spans="3:30" s="409" customFormat="1" ht="14.1" customHeight="1">
      <c r="C328" s="410"/>
      <c r="D328" s="410"/>
      <c r="E328" s="411"/>
      <c r="F328" s="411"/>
      <c r="G328" s="412"/>
      <c r="H328" s="411"/>
      <c r="I328" s="413"/>
      <c r="J328" s="410"/>
      <c r="N328" s="411"/>
      <c r="O328" s="411"/>
      <c r="P328" s="415"/>
      <c r="Q328" s="416"/>
      <c r="R328" s="422"/>
      <c r="S328" s="416"/>
      <c r="AA328" s="410"/>
      <c r="AD328" s="418"/>
    </row>
    <row r="329" spans="3:30" s="409" customFormat="1" ht="14.1" customHeight="1">
      <c r="C329" s="410"/>
      <c r="D329" s="410"/>
      <c r="E329" s="411"/>
      <c r="F329" s="411"/>
      <c r="G329" s="412"/>
      <c r="H329" s="411"/>
      <c r="I329" s="413"/>
      <c r="J329" s="410"/>
      <c r="N329" s="411"/>
      <c r="O329" s="411"/>
      <c r="P329" s="415"/>
      <c r="Q329" s="416"/>
      <c r="R329" s="422"/>
      <c r="S329" s="416"/>
      <c r="AA329" s="410"/>
      <c r="AD329" s="418"/>
    </row>
    <row r="330" spans="3:30" s="409" customFormat="1" ht="14.1" customHeight="1">
      <c r="C330" s="410"/>
      <c r="D330" s="410"/>
      <c r="E330" s="411"/>
      <c r="F330" s="411"/>
      <c r="G330" s="412"/>
      <c r="H330" s="411"/>
      <c r="I330" s="413"/>
      <c r="J330" s="410"/>
      <c r="N330" s="411"/>
      <c r="O330" s="411"/>
      <c r="P330" s="415"/>
      <c r="Q330" s="416"/>
      <c r="R330" s="422"/>
      <c r="S330" s="416"/>
      <c r="AA330" s="410"/>
      <c r="AD330" s="418"/>
    </row>
    <row r="331" spans="3:30" s="409" customFormat="1" ht="14.1" customHeight="1">
      <c r="C331" s="410"/>
      <c r="D331" s="410"/>
      <c r="E331" s="411"/>
      <c r="F331" s="411"/>
      <c r="G331" s="412"/>
      <c r="H331" s="411"/>
      <c r="I331" s="413"/>
      <c r="J331" s="410"/>
      <c r="N331" s="411"/>
      <c r="O331" s="411"/>
      <c r="P331" s="415"/>
      <c r="Q331" s="416"/>
      <c r="R331" s="422"/>
      <c r="S331" s="416"/>
      <c r="AA331" s="410"/>
      <c r="AD331" s="418"/>
    </row>
    <row r="332" spans="3:30" s="409" customFormat="1" ht="14.1" customHeight="1">
      <c r="C332" s="410"/>
      <c r="D332" s="410"/>
      <c r="E332" s="411"/>
      <c r="F332" s="411"/>
      <c r="G332" s="412"/>
      <c r="H332" s="411"/>
      <c r="I332" s="413"/>
      <c r="J332" s="410"/>
      <c r="N332" s="411"/>
      <c r="O332" s="411"/>
      <c r="P332" s="415"/>
      <c r="Q332" s="416"/>
      <c r="R332" s="422"/>
      <c r="S332" s="416"/>
      <c r="AA332" s="410"/>
      <c r="AD332" s="418"/>
    </row>
    <row r="333" spans="3:30" s="409" customFormat="1" ht="14.1" customHeight="1">
      <c r="C333" s="410"/>
      <c r="D333" s="410"/>
      <c r="E333" s="411"/>
      <c r="F333" s="411"/>
      <c r="G333" s="412"/>
      <c r="H333" s="411"/>
      <c r="I333" s="413"/>
      <c r="J333" s="410"/>
      <c r="N333" s="411"/>
      <c r="O333" s="411"/>
      <c r="P333" s="415"/>
      <c r="Q333" s="416"/>
      <c r="R333" s="422"/>
      <c r="S333" s="416"/>
      <c r="AA333" s="410"/>
      <c r="AD333" s="418"/>
    </row>
    <row r="334" spans="3:30" s="409" customFormat="1" ht="14.1" customHeight="1">
      <c r="C334" s="410"/>
      <c r="D334" s="410"/>
      <c r="E334" s="411"/>
      <c r="F334" s="411"/>
      <c r="G334" s="412"/>
      <c r="H334" s="411"/>
      <c r="I334" s="413"/>
      <c r="J334" s="410"/>
      <c r="N334" s="411"/>
      <c r="O334" s="411"/>
      <c r="P334" s="415"/>
      <c r="Q334" s="416"/>
      <c r="R334" s="422"/>
      <c r="S334" s="416"/>
      <c r="AA334" s="410"/>
      <c r="AD334" s="418"/>
    </row>
    <row r="335" spans="3:30" s="409" customFormat="1" ht="14.1" customHeight="1">
      <c r="C335" s="410"/>
      <c r="D335" s="410"/>
      <c r="E335" s="411"/>
      <c r="F335" s="411"/>
      <c r="G335" s="412"/>
      <c r="H335" s="411"/>
      <c r="I335" s="413"/>
      <c r="J335" s="410"/>
      <c r="N335" s="411"/>
      <c r="O335" s="411"/>
      <c r="P335" s="415"/>
      <c r="Q335" s="416"/>
      <c r="R335" s="422"/>
      <c r="S335" s="416"/>
      <c r="AA335" s="410"/>
      <c r="AD335" s="418"/>
    </row>
    <row r="336" spans="3:30" s="409" customFormat="1" ht="14.1" customHeight="1">
      <c r="C336" s="410"/>
      <c r="D336" s="410"/>
      <c r="E336" s="411"/>
      <c r="F336" s="411"/>
      <c r="G336" s="412"/>
      <c r="H336" s="411"/>
      <c r="I336" s="413"/>
      <c r="J336" s="410"/>
      <c r="N336" s="411"/>
      <c r="O336" s="411"/>
      <c r="P336" s="415"/>
      <c r="Q336" s="416"/>
      <c r="R336" s="422"/>
      <c r="S336" s="416"/>
      <c r="AA336" s="410"/>
      <c r="AD336" s="418"/>
    </row>
    <row r="337" spans="3:30" s="409" customFormat="1" ht="14.1" customHeight="1">
      <c r="C337" s="410"/>
      <c r="D337" s="410"/>
      <c r="E337" s="411"/>
      <c r="F337" s="411"/>
      <c r="G337" s="412"/>
      <c r="H337" s="411"/>
      <c r="I337" s="413"/>
      <c r="J337" s="410"/>
      <c r="N337" s="411"/>
      <c r="O337" s="411"/>
      <c r="P337" s="415"/>
      <c r="Q337" s="416"/>
      <c r="R337" s="422"/>
      <c r="S337" s="416"/>
      <c r="AA337" s="410"/>
      <c r="AD337" s="418"/>
    </row>
    <row r="338" spans="3:30" s="409" customFormat="1" ht="14.1" customHeight="1">
      <c r="C338" s="410"/>
      <c r="D338" s="410"/>
      <c r="E338" s="411"/>
      <c r="F338" s="411"/>
      <c r="G338" s="412"/>
      <c r="H338" s="411"/>
      <c r="I338" s="413"/>
      <c r="J338" s="410"/>
      <c r="N338" s="411"/>
      <c r="O338" s="411"/>
      <c r="P338" s="415"/>
      <c r="Q338" s="416"/>
      <c r="R338" s="422"/>
      <c r="S338" s="416"/>
      <c r="AA338" s="410"/>
      <c r="AD338" s="418"/>
    </row>
    <row r="339" spans="3:30" s="409" customFormat="1" ht="14.1" customHeight="1">
      <c r="C339" s="410"/>
      <c r="D339" s="410"/>
      <c r="E339" s="411"/>
      <c r="F339" s="411"/>
      <c r="G339" s="412"/>
      <c r="H339" s="411"/>
      <c r="I339" s="413"/>
      <c r="J339" s="410"/>
      <c r="N339" s="411"/>
      <c r="O339" s="411"/>
      <c r="P339" s="415"/>
      <c r="Q339" s="416"/>
      <c r="R339" s="422"/>
      <c r="S339" s="416"/>
      <c r="AA339" s="410"/>
      <c r="AD339" s="418"/>
    </row>
    <row r="340" spans="3:30" s="409" customFormat="1" ht="14.1" customHeight="1">
      <c r="C340" s="410"/>
      <c r="D340" s="410"/>
      <c r="E340" s="411"/>
      <c r="F340" s="411"/>
      <c r="G340" s="412"/>
      <c r="H340" s="411"/>
      <c r="I340" s="413"/>
      <c r="J340" s="410"/>
      <c r="N340" s="411"/>
      <c r="O340" s="411"/>
      <c r="P340" s="415"/>
      <c r="Q340" s="416"/>
      <c r="R340" s="422"/>
      <c r="S340" s="416"/>
      <c r="AA340" s="410"/>
      <c r="AD340" s="418"/>
    </row>
    <row r="341" spans="3:30" s="409" customFormat="1" ht="14.1" customHeight="1">
      <c r="C341" s="410"/>
      <c r="D341" s="410"/>
      <c r="E341" s="411"/>
      <c r="F341" s="411"/>
      <c r="G341" s="412"/>
      <c r="H341" s="411"/>
      <c r="I341" s="413"/>
      <c r="J341" s="410"/>
      <c r="N341" s="411"/>
      <c r="O341" s="411"/>
      <c r="P341" s="415"/>
      <c r="Q341" s="416"/>
      <c r="R341" s="422"/>
      <c r="S341" s="416"/>
      <c r="AA341" s="410"/>
      <c r="AD341" s="418"/>
    </row>
    <row r="342" spans="3:30" s="409" customFormat="1" ht="14.1" customHeight="1">
      <c r="C342" s="410"/>
      <c r="D342" s="410"/>
      <c r="E342" s="411"/>
      <c r="F342" s="411"/>
      <c r="G342" s="412"/>
      <c r="H342" s="411"/>
      <c r="I342" s="413"/>
      <c r="J342" s="410"/>
      <c r="N342" s="411"/>
      <c r="O342" s="411"/>
      <c r="P342" s="415"/>
      <c r="Q342" s="416"/>
      <c r="R342" s="422"/>
      <c r="S342" s="416"/>
      <c r="AA342" s="410"/>
      <c r="AD342" s="418"/>
    </row>
    <row r="343" spans="3:30" s="409" customFormat="1" ht="14.1" customHeight="1">
      <c r="C343" s="410"/>
      <c r="D343" s="410"/>
      <c r="E343" s="411"/>
      <c r="F343" s="411"/>
      <c r="G343" s="412"/>
      <c r="H343" s="411"/>
      <c r="I343" s="413"/>
      <c r="J343" s="410"/>
      <c r="N343" s="411"/>
      <c r="O343" s="411"/>
      <c r="P343" s="415"/>
      <c r="Q343" s="416"/>
      <c r="R343" s="422"/>
      <c r="S343" s="416"/>
      <c r="AA343" s="410"/>
      <c r="AD343" s="418"/>
    </row>
    <row r="344" spans="3:30" s="409" customFormat="1" ht="14.1" customHeight="1">
      <c r="C344" s="410"/>
      <c r="D344" s="410"/>
      <c r="E344" s="411"/>
      <c r="F344" s="411"/>
      <c r="G344" s="412"/>
      <c r="H344" s="411"/>
      <c r="I344" s="413"/>
      <c r="J344" s="410"/>
      <c r="N344" s="411"/>
      <c r="O344" s="411"/>
      <c r="P344" s="415"/>
      <c r="Q344" s="416"/>
      <c r="R344" s="422"/>
      <c r="S344" s="416"/>
      <c r="AA344" s="410"/>
      <c r="AD344" s="418"/>
    </row>
    <row r="345" spans="3:30" s="409" customFormat="1" ht="14.1" customHeight="1">
      <c r="C345" s="410"/>
      <c r="D345" s="410"/>
      <c r="E345" s="411"/>
      <c r="F345" s="411"/>
      <c r="G345" s="412"/>
      <c r="H345" s="411"/>
      <c r="I345" s="413"/>
      <c r="J345" s="410"/>
      <c r="N345" s="411"/>
      <c r="O345" s="411"/>
      <c r="P345" s="415"/>
      <c r="Q345" s="416"/>
      <c r="R345" s="422"/>
      <c r="S345" s="416"/>
      <c r="AA345" s="410"/>
      <c r="AD345" s="418"/>
    </row>
    <row r="346" spans="3:30" s="409" customFormat="1" ht="14.1" customHeight="1">
      <c r="C346" s="410"/>
      <c r="D346" s="410"/>
      <c r="E346" s="411"/>
      <c r="F346" s="411"/>
      <c r="G346" s="412"/>
      <c r="H346" s="411"/>
      <c r="I346" s="413"/>
      <c r="J346" s="410"/>
      <c r="N346" s="411"/>
      <c r="O346" s="411"/>
      <c r="P346" s="415"/>
      <c r="Q346" s="416"/>
      <c r="R346" s="422"/>
      <c r="S346" s="416"/>
      <c r="AA346" s="410"/>
      <c r="AD346" s="418"/>
    </row>
    <row r="347" spans="3:30" s="409" customFormat="1" ht="14.1" customHeight="1">
      <c r="C347" s="410"/>
      <c r="D347" s="410"/>
      <c r="E347" s="411"/>
      <c r="F347" s="411"/>
      <c r="G347" s="412"/>
      <c r="H347" s="411"/>
      <c r="I347" s="413"/>
      <c r="J347" s="410"/>
      <c r="N347" s="411"/>
      <c r="O347" s="411"/>
      <c r="P347" s="415"/>
      <c r="Q347" s="416"/>
      <c r="R347" s="422"/>
      <c r="S347" s="416"/>
      <c r="AA347" s="410"/>
      <c r="AD347" s="418"/>
    </row>
    <row r="348" spans="3:30" s="409" customFormat="1" ht="14.1" customHeight="1">
      <c r="C348" s="410"/>
      <c r="D348" s="410"/>
      <c r="E348" s="411"/>
      <c r="F348" s="411"/>
      <c r="G348" s="412"/>
      <c r="H348" s="411"/>
      <c r="I348" s="413"/>
      <c r="J348" s="410"/>
      <c r="N348" s="411"/>
      <c r="O348" s="411"/>
      <c r="P348" s="415"/>
      <c r="Q348" s="416"/>
      <c r="R348" s="422"/>
      <c r="S348" s="416"/>
      <c r="AA348" s="410"/>
      <c r="AD348" s="418"/>
    </row>
    <row r="349" spans="3:30" s="409" customFormat="1" ht="14.1" customHeight="1">
      <c r="C349" s="410"/>
      <c r="D349" s="410"/>
      <c r="E349" s="411"/>
      <c r="F349" s="411"/>
      <c r="G349" s="412"/>
      <c r="H349" s="411"/>
      <c r="I349" s="413"/>
      <c r="J349" s="410"/>
      <c r="N349" s="411"/>
      <c r="O349" s="411"/>
      <c r="P349" s="415"/>
      <c r="Q349" s="416"/>
      <c r="R349" s="422"/>
      <c r="S349" s="416"/>
      <c r="AA349" s="410"/>
      <c r="AD349" s="418"/>
    </row>
    <row r="350" spans="3:30" s="409" customFormat="1" ht="14.1" customHeight="1">
      <c r="C350" s="410"/>
      <c r="D350" s="410"/>
      <c r="E350" s="411"/>
      <c r="F350" s="411"/>
      <c r="G350" s="412"/>
      <c r="H350" s="411"/>
      <c r="I350" s="413"/>
      <c r="J350" s="410"/>
      <c r="N350" s="411"/>
      <c r="O350" s="411"/>
      <c r="P350" s="415"/>
      <c r="Q350" s="416"/>
      <c r="R350" s="422"/>
      <c r="S350" s="416"/>
      <c r="AA350" s="410"/>
      <c r="AD350" s="418"/>
    </row>
    <row r="351" spans="3:30" s="409" customFormat="1" ht="14.1" customHeight="1">
      <c r="C351" s="410"/>
      <c r="D351" s="410"/>
      <c r="E351" s="411"/>
      <c r="F351" s="411"/>
      <c r="G351" s="412"/>
      <c r="H351" s="411"/>
      <c r="I351" s="413"/>
      <c r="J351" s="410"/>
      <c r="N351" s="411"/>
      <c r="O351" s="411"/>
      <c r="P351" s="415"/>
      <c r="Q351" s="416"/>
      <c r="R351" s="422"/>
      <c r="S351" s="416"/>
      <c r="AA351" s="410"/>
      <c r="AD351" s="418"/>
    </row>
    <row r="352" spans="3:30" s="409" customFormat="1" ht="14.1" customHeight="1">
      <c r="C352" s="410"/>
      <c r="D352" s="410"/>
      <c r="E352" s="411"/>
      <c r="F352" s="411"/>
      <c r="G352" s="412"/>
      <c r="H352" s="411"/>
      <c r="I352" s="413"/>
      <c r="J352" s="410"/>
      <c r="N352" s="411"/>
      <c r="O352" s="411"/>
      <c r="P352" s="415"/>
      <c r="Q352" s="416"/>
      <c r="R352" s="422"/>
      <c r="S352" s="416"/>
      <c r="AA352" s="410"/>
      <c r="AD352" s="418"/>
    </row>
    <row r="353" spans="3:30" s="409" customFormat="1" ht="14.1" customHeight="1">
      <c r="C353" s="410"/>
      <c r="D353" s="410"/>
      <c r="E353" s="411"/>
      <c r="F353" s="411"/>
      <c r="G353" s="412"/>
      <c r="H353" s="411"/>
      <c r="I353" s="413"/>
      <c r="J353" s="410"/>
      <c r="N353" s="411"/>
      <c r="O353" s="411"/>
      <c r="P353" s="415"/>
      <c r="Q353" s="416"/>
      <c r="R353" s="422"/>
      <c r="S353" s="416"/>
      <c r="AA353" s="410"/>
      <c r="AD353" s="418"/>
    </row>
    <row r="354" spans="3:30" s="409" customFormat="1" ht="14.1" customHeight="1">
      <c r="C354" s="410"/>
      <c r="D354" s="410"/>
      <c r="E354" s="411"/>
      <c r="F354" s="411"/>
      <c r="G354" s="412"/>
      <c r="H354" s="411"/>
      <c r="I354" s="413"/>
      <c r="J354" s="410"/>
      <c r="N354" s="411"/>
      <c r="O354" s="411"/>
      <c r="P354" s="415"/>
      <c r="Q354" s="416"/>
      <c r="R354" s="422"/>
      <c r="S354" s="416"/>
      <c r="AA354" s="410"/>
      <c r="AD354" s="418"/>
    </row>
    <row r="355" spans="3:30" s="409" customFormat="1" ht="14.1" customHeight="1">
      <c r="C355" s="410"/>
      <c r="D355" s="410"/>
      <c r="E355" s="411"/>
      <c r="F355" s="411"/>
      <c r="G355" s="412"/>
      <c r="H355" s="411"/>
      <c r="I355" s="413"/>
      <c r="J355" s="410"/>
      <c r="N355" s="411"/>
      <c r="O355" s="411"/>
      <c r="P355" s="415"/>
      <c r="Q355" s="416"/>
      <c r="R355" s="422"/>
      <c r="S355" s="416"/>
      <c r="AA355" s="410"/>
      <c r="AD355" s="418"/>
    </row>
    <row r="356" spans="3:30" s="409" customFormat="1" ht="14.1" customHeight="1">
      <c r="C356" s="410"/>
      <c r="D356" s="410"/>
      <c r="E356" s="411"/>
      <c r="F356" s="411"/>
      <c r="G356" s="412"/>
      <c r="H356" s="411"/>
      <c r="I356" s="413"/>
      <c r="J356" s="410"/>
      <c r="N356" s="411"/>
      <c r="O356" s="411"/>
      <c r="P356" s="415"/>
      <c r="Q356" s="416"/>
      <c r="R356" s="422"/>
      <c r="S356" s="416"/>
      <c r="AA356" s="410"/>
      <c r="AD356" s="418"/>
    </row>
    <row r="357" spans="3:30" s="409" customFormat="1" ht="14.1" customHeight="1">
      <c r="C357" s="410"/>
      <c r="D357" s="410"/>
      <c r="E357" s="411"/>
      <c r="F357" s="411"/>
      <c r="G357" s="412"/>
      <c r="H357" s="411"/>
      <c r="I357" s="413"/>
      <c r="J357" s="410"/>
      <c r="N357" s="411"/>
      <c r="O357" s="411"/>
      <c r="P357" s="415"/>
      <c r="Q357" s="416"/>
      <c r="R357" s="422"/>
      <c r="S357" s="416"/>
      <c r="AA357" s="410"/>
      <c r="AD357" s="418"/>
    </row>
    <row r="358" spans="3:30" s="409" customFormat="1" ht="14.1" customHeight="1">
      <c r="C358" s="410"/>
      <c r="D358" s="410"/>
      <c r="E358" s="411"/>
      <c r="F358" s="411"/>
      <c r="G358" s="412"/>
      <c r="H358" s="411"/>
      <c r="I358" s="413"/>
      <c r="J358" s="410"/>
      <c r="N358" s="411"/>
      <c r="O358" s="411"/>
      <c r="P358" s="415"/>
      <c r="Q358" s="416"/>
      <c r="R358" s="422"/>
      <c r="S358" s="416"/>
      <c r="AA358" s="410"/>
      <c r="AD358" s="418"/>
    </row>
    <row r="359" spans="3:30" s="409" customFormat="1" ht="14.1" customHeight="1">
      <c r="C359" s="410"/>
      <c r="D359" s="410"/>
      <c r="E359" s="411"/>
      <c r="F359" s="411"/>
      <c r="G359" s="412"/>
      <c r="H359" s="411"/>
      <c r="I359" s="413"/>
      <c r="J359" s="410"/>
      <c r="N359" s="411"/>
      <c r="O359" s="411"/>
      <c r="P359" s="415"/>
      <c r="Q359" s="416"/>
      <c r="R359" s="422"/>
      <c r="S359" s="416"/>
      <c r="AA359" s="410"/>
      <c r="AD359" s="418"/>
    </row>
    <row r="360" spans="3:30" s="409" customFormat="1" ht="14.1" customHeight="1">
      <c r="C360" s="410"/>
      <c r="D360" s="410"/>
      <c r="E360" s="411"/>
      <c r="F360" s="411"/>
      <c r="G360" s="412"/>
      <c r="H360" s="411"/>
      <c r="I360" s="413"/>
      <c r="J360" s="410"/>
      <c r="N360" s="411"/>
      <c r="O360" s="411"/>
      <c r="P360" s="415"/>
      <c r="Q360" s="416"/>
      <c r="R360" s="422"/>
      <c r="S360" s="416"/>
      <c r="AA360" s="410"/>
      <c r="AD360" s="418"/>
    </row>
    <row r="361" spans="3:30" s="409" customFormat="1" ht="14.1" customHeight="1">
      <c r="C361" s="410"/>
      <c r="D361" s="410"/>
      <c r="E361" s="411"/>
      <c r="F361" s="411"/>
      <c r="G361" s="412"/>
      <c r="H361" s="411"/>
      <c r="I361" s="413"/>
      <c r="J361" s="410"/>
      <c r="N361" s="411"/>
      <c r="O361" s="411"/>
      <c r="P361" s="415"/>
      <c r="Q361" s="416"/>
      <c r="R361" s="422"/>
      <c r="S361" s="416"/>
      <c r="AA361" s="410"/>
      <c r="AD361" s="418"/>
    </row>
    <row r="362" spans="3:30" s="409" customFormat="1" ht="14.1" customHeight="1">
      <c r="C362" s="410"/>
      <c r="D362" s="410"/>
      <c r="E362" s="411"/>
      <c r="F362" s="411"/>
      <c r="G362" s="412"/>
      <c r="H362" s="411"/>
      <c r="I362" s="413"/>
      <c r="J362" s="410"/>
      <c r="N362" s="411"/>
      <c r="O362" s="411"/>
      <c r="P362" s="415"/>
      <c r="Q362" s="416"/>
      <c r="R362" s="422"/>
      <c r="S362" s="416"/>
      <c r="AA362" s="410"/>
      <c r="AD362" s="418"/>
    </row>
    <row r="363" spans="3:30" s="409" customFormat="1" ht="14.1" customHeight="1">
      <c r="C363" s="410"/>
      <c r="D363" s="410"/>
      <c r="E363" s="411"/>
      <c r="F363" s="411"/>
      <c r="G363" s="412"/>
      <c r="H363" s="411"/>
      <c r="I363" s="413"/>
      <c r="J363" s="410"/>
      <c r="N363" s="411"/>
      <c r="O363" s="411"/>
      <c r="P363" s="415"/>
      <c r="Q363" s="416"/>
      <c r="R363" s="422"/>
      <c r="S363" s="416"/>
      <c r="AA363" s="410"/>
      <c r="AD363" s="418"/>
    </row>
    <row r="364" spans="3:30" s="409" customFormat="1" ht="14.1" customHeight="1">
      <c r="C364" s="410"/>
      <c r="D364" s="410"/>
      <c r="E364" s="411"/>
      <c r="F364" s="411"/>
      <c r="G364" s="412"/>
      <c r="H364" s="411"/>
      <c r="I364" s="413"/>
      <c r="J364" s="410"/>
      <c r="N364" s="411"/>
      <c r="O364" s="411"/>
      <c r="P364" s="415"/>
      <c r="Q364" s="416"/>
      <c r="R364" s="422"/>
      <c r="S364" s="416"/>
      <c r="AA364" s="410"/>
      <c r="AD364" s="418"/>
    </row>
    <row r="365" spans="3:30" s="409" customFormat="1" ht="14.1" customHeight="1">
      <c r="C365" s="410"/>
      <c r="D365" s="410"/>
      <c r="E365" s="411"/>
      <c r="F365" s="411"/>
      <c r="G365" s="412"/>
      <c r="H365" s="411"/>
      <c r="I365" s="413"/>
      <c r="J365" s="410"/>
      <c r="N365" s="411"/>
      <c r="O365" s="411"/>
      <c r="P365" s="415"/>
      <c r="Q365" s="416"/>
      <c r="R365" s="422"/>
      <c r="S365" s="416"/>
      <c r="AA365" s="410"/>
      <c r="AD365" s="418"/>
    </row>
    <row r="366" spans="3:30" s="409" customFormat="1" ht="14.1" customHeight="1">
      <c r="C366" s="410"/>
      <c r="D366" s="410"/>
      <c r="E366" s="411"/>
      <c r="F366" s="411"/>
      <c r="G366" s="412"/>
      <c r="H366" s="411"/>
      <c r="I366" s="413"/>
      <c r="J366" s="410"/>
      <c r="N366" s="411"/>
      <c r="O366" s="411"/>
      <c r="P366" s="415"/>
      <c r="Q366" s="416"/>
      <c r="R366" s="422"/>
      <c r="S366" s="416"/>
      <c r="AA366" s="410"/>
      <c r="AD366" s="418"/>
    </row>
    <row r="367" spans="3:30" s="409" customFormat="1" ht="14.1" customHeight="1">
      <c r="C367" s="410"/>
      <c r="D367" s="410"/>
      <c r="E367" s="411"/>
      <c r="F367" s="411"/>
      <c r="G367" s="412"/>
      <c r="H367" s="411"/>
      <c r="I367" s="413"/>
      <c r="J367" s="410"/>
      <c r="N367" s="411"/>
      <c r="O367" s="411"/>
      <c r="P367" s="415"/>
      <c r="Q367" s="416"/>
      <c r="R367" s="422"/>
      <c r="S367" s="416"/>
      <c r="AA367" s="410"/>
      <c r="AD367" s="418"/>
    </row>
    <row r="368" spans="3:30" s="409" customFormat="1" ht="14.1" customHeight="1">
      <c r="C368" s="410"/>
      <c r="D368" s="410"/>
      <c r="E368" s="411"/>
      <c r="F368" s="411"/>
      <c r="G368" s="412"/>
      <c r="H368" s="411"/>
      <c r="I368" s="413"/>
      <c r="J368" s="410"/>
      <c r="N368" s="411"/>
      <c r="O368" s="411"/>
      <c r="P368" s="415"/>
      <c r="Q368" s="416"/>
      <c r="R368" s="422"/>
      <c r="S368" s="416"/>
      <c r="AA368" s="410"/>
      <c r="AD368" s="418"/>
    </row>
    <row r="369" spans="3:30" s="409" customFormat="1" ht="14.1" customHeight="1">
      <c r="C369" s="410"/>
      <c r="D369" s="410"/>
      <c r="E369" s="411"/>
      <c r="F369" s="411"/>
      <c r="G369" s="412"/>
      <c r="H369" s="411"/>
      <c r="I369" s="413"/>
      <c r="J369" s="410"/>
      <c r="N369" s="411"/>
      <c r="O369" s="411"/>
      <c r="P369" s="415"/>
      <c r="Q369" s="416"/>
      <c r="R369" s="422"/>
      <c r="S369" s="416"/>
      <c r="AA369" s="410"/>
      <c r="AD369" s="418"/>
    </row>
    <row r="370" spans="3:30" s="409" customFormat="1" ht="14.1" customHeight="1">
      <c r="C370" s="410"/>
      <c r="D370" s="410"/>
      <c r="E370" s="411"/>
      <c r="F370" s="411"/>
      <c r="G370" s="412"/>
      <c r="H370" s="411"/>
      <c r="I370" s="413"/>
      <c r="J370" s="410"/>
      <c r="N370" s="411"/>
      <c r="O370" s="411"/>
      <c r="P370" s="415"/>
      <c r="Q370" s="416"/>
      <c r="R370" s="422"/>
      <c r="S370" s="416"/>
      <c r="AA370" s="410"/>
      <c r="AD370" s="418"/>
    </row>
    <row r="371" spans="3:30" s="409" customFormat="1" ht="14.1" customHeight="1">
      <c r="C371" s="410"/>
      <c r="D371" s="410"/>
      <c r="E371" s="411"/>
      <c r="F371" s="411"/>
      <c r="G371" s="412"/>
      <c r="H371" s="411"/>
      <c r="I371" s="413"/>
      <c r="J371" s="410"/>
      <c r="N371" s="411"/>
      <c r="O371" s="411"/>
      <c r="P371" s="415"/>
      <c r="Q371" s="416"/>
      <c r="R371" s="422"/>
      <c r="S371" s="416"/>
      <c r="AA371" s="410"/>
      <c r="AD371" s="418"/>
    </row>
    <row r="372" spans="3:30" s="409" customFormat="1" ht="14.1" customHeight="1">
      <c r="C372" s="410"/>
      <c r="D372" s="410"/>
      <c r="E372" s="411"/>
      <c r="F372" s="411"/>
      <c r="G372" s="412"/>
      <c r="H372" s="411"/>
      <c r="I372" s="413"/>
      <c r="J372" s="410"/>
      <c r="N372" s="411"/>
      <c r="O372" s="411"/>
      <c r="P372" s="415"/>
      <c r="Q372" s="416"/>
      <c r="R372" s="422"/>
      <c r="S372" s="416"/>
      <c r="AA372" s="410"/>
      <c r="AD372" s="418"/>
    </row>
    <row r="373" spans="3:30" s="409" customFormat="1" ht="14.1" customHeight="1">
      <c r="C373" s="410"/>
      <c r="D373" s="410"/>
      <c r="E373" s="411"/>
      <c r="F373" s="411"/>
      <c r="G373" s="412"/>
      <c r="H373" s="411"/>
      <c r="I373" s="413"/>
      <c r="J373" s="410"/>
      <c r="N373" s="411"/>
      <c r="O373" s="411"/>
      <c r="P373" s="415"/>
      <c r="Q373" s="416"/>
      <c r="R373" s="422"/>
      <c r="S373" s="416"/>
      <c r="AA373" s="410"/>
      <c r="AD373" s="418"/>
    </row>
    <row r="374" spans="3:30" s="409" customFormat="1" ht="14.1" customHeight="1">
      <c r="C374" s="410"/>
      <c r="D374" s="410"/>
      <c r="E374" s="411"/>
      <c r="F374" s="411"/>
      <c r="G374" s="412"/>
      <c r="H374" s="411"/>
      <c r="I374" s="413"/>
      <c r="J374" s="410"/>
      <c r="N374" s="411"/>
      <c r="O374" s="411"/>
      <c r="P374" s="415"/>
      <c r="Q374" s="416"/>
      <c r="R374" s="422"/>
      <c r="S374" s="416"/>
      <c r="AA374" s="410"/>
      <c r="AD374" s="418"/>
    </row>
    <row r="375" spans="3:30" s="409" customFormat="1" ht="14.1" customHeight="1">
      <c r="C375" s="410"/>
      <c r="D375" s="410"/>
      <c r="E375" s="411"/>
      <c r="F375" s="411"/>
      <c r="G375" s="412"/>
      <c r="H375" s="411"/>
      <c r="I375" s="413"/>
      <c r="J375" s="410"/>
      <c r="N375" s="411"/>
      <c r="O375" s="411"/>
      <c r="P375" s="415"/>
      <c r="Q375" s="416"/>
      <c r="R375" s="422"/>
      <c r="S375" s="416"/>
      <c r="AA375" s="410"/>
      <c r="AD375" s="418"/>
    </row>
    <row r="376" spans="3:30" s="409" customFormat="1" ht="14.1" customHeight="1">
      <c r="C376" s="410"/>
      <c r="D376" s="410"/>
      <c r="E376" s="411"/>
      <c r="F376" s="411"/>
      <c r="G376" s="412"/>
      <c r="H376" s="411"/>
      <c r="I376" s="413"/>
      <c r="J376" s="410"/>
      <c r="N376" s="411"/>
      <c r="O376" s="411"/>
      <c r="P376" s="415"/>
      <c r="Q376" s="416"/>
      <c r="R376" s="422"/>
      <c r="S376" s="416"/>
      <c r="AA376" s="410"/>
      <c r="AD376" s="418"/>
    </row>
    <row r="377" spans="3:30" s="409" customFormat="1" ht="14.1" customHeight="1">
      <c r="C377" s="410"/>
      <c r="D377" s="410"/>
      <c r="E377" s="411"/>
      <c r="F377" s="411"/>
      <c r="G377" s="412"/>
      <c r="H377" s="411"/>
      <c r="I377" s="413"/>
      <c r="J377" s="410"/>
      <c r="N377" s="411"/>
      <c r="O377" s="411"/>
      <c r="P377" s="415"/>
      <c r="Q377" s="416"/>
      <c r="R377" s="422"/>
      <c r="S377" s="416"/>
      <c r="AA377" s="410"/>
      <c r="AD377" s="418"/>
    </row>
    <row r="378" spans="3:30" s="409" customFormat="1" ht="14.1" customHeight="1">
      <c r="C378" s="410"/>
      <c r="D378" s="410"/>
      <c r="E378" s="411"/>
      <c r="F378" s="411"/>
      <c r="G378" s="412"/>
      <c r="H378" s="411"/>
      <c r="I378" s="413"/>
      <c r="J378" s="410"/>
      <c r="N378" s="411"/>
      <c r="O378" s="411"/>
      <c r="P378" s="415"/>
      <c r="Q378" s="416"/>
      <c r="R378" s="422"/>
      <c r="S378" s="416"/>
      <c r="AA378" s="410"/>
      <c r="AD378" s="418"/>
    </row>
    <row r="379" spans="3:30" s="409" customFormat="1" ht="14.1" customHeight="1">
      <c r="C379" s="410"/>
      <c r="D379" s="410"/>
      <c r="E379" s="411"/>
      <c r="F379" s="411"/>
      <c r="G379" s="412"/>
      <c r="H379" s="411"/>
      <c r="I379" s="413"/>
      <c r="J379" s="410"/>
      <c r="N379" s="411"/>
      <c r="O379" s="411"/>
      <c r="P379" s="415"/>
      <c r="Q379" s="416"/>
      <c r="R379" s="422"/>
      <c r="S379" s="416"/>
      <c r="AA379" s="410"/>
      <c r="AD379" s="418"/>
    </row>
    <row r="380" spans="3:30" s="409" customFormat="1" ht="14.1" customHeight="1">
      <c r="C380" s="410"/>
      <c r="D380" s="410"/>
      <c r="E380" s="411"/>
      <c r="F380" s="411"/>
      <c r="G380" s="412"/>
      <c r="H380" s="411"/>
      <c r="I380" s="413"/>
      <c r="J380" s="410"/>
      <c r="N380" s="411"/>
      <c r="O380" s="411"/>
      <c r="P380" s="415"/>
      <c r="Q380" s="416"/>
      <c r="R380" s="422"/>
      <c r="S380" s="416"/>
      <c r="AA380" s="410"/>
      <c r="AD380" s="418"/>
    </row>
    <row r="381" spans="3:30" s="409" customFormat="1" ht="14.1" customHeight="1">
      <c r="C381" s="410"/>
      <c r="D381" s="410"/>
      <c r="E381" s="411"/>
      <c r="F381" s="411"/>
      <c r="G381" s="412"/>
      <c r="H381" s="411"/>
      <c r="I381" s="413"/>
      <c r="J381" s="410"/>
      <c r="N381" s="411"/>
      <c r="O381" s="411"/>
      <c r="P381" s="415"/>
      <c r="Q381" s="416"/>
      <c r="R381" s="422"/>
      <c r="S381" s="416"/>
      <c r="AA381" s="410"/>
      <c r="AD381" s="418"/>
    </row>
    <row r="382" spans="3:30" s="409" customFormat="1" ht="14.1" customHeight="1">
      <c r="C382" s="410"/>
      <c r="D382" s="410"/>
      <c r="E382" s="411"/>
      <c r="F382" s="411"/>
      <c r="G382" s="412"/>
      <c r="H382" s="411"/>
      <c r="I382" s="413"/>
      <c r="J382" s="410"/>
      <c r="N382" s="411"/>
      <c r="O382" s="411"/>
      <c r="P382" s="415"/>
      <c r="Q382" s="416"/>
      <c r="R382" s="422"/>
      <c r="S382" s="416"/>
      <c r="AA382" s="410"/>
      <c r="AD382" s="418"/>
    </row>
    <row r="383" spans="3:30" s="409" customFormat="1" ht="14.1" customHeight="1">
      <c r="C383" s="410"/>
      <c r="D383" s="410"/>
      <c r="E383" s="411"/>
      <c r="F383" s="411"/>
      <c r="G383" s="412"/>
      <c r="H383" s="411"/>
      <c r="I383" s="413"/>
      <c r="J383" s="410"/>
      <c r="N383" s="411"/>
      <c r="O383" s="411"/>
      <c r="P383" s="415"/>
      <c r="Q383" s="416"/>
      <c r="R383" s="422"/>
      <c r="S383" s="416"/>
      <c r="AA383" s="410"/>
      <c r="AD383" s="418"/>
    </row>
    <row r="384" spans="3:30" s="409" customFormat="1" ht="14.1" customHeight="1">
      <c r="C384" s="410"/>
      <c r="D384" s="410"/>
      <c r="E384" s="411"/>
      <c r="F384" s="411"/>
      <c r="G384" s="412"/>
      <c r="H384" s="411"/>
      <c r="I384" s="413"/>
      <c r="J384" s="410"/>
      <c r="N384" s="411"/>
      <c r="O384" s="411"/>
      <c r="P384" s="415"/>
      <c r="Q384" s="416"/>
      <c r="R384" s="422"/>
      <c r="S384" s="416"/>
      <c r="AA384" s="410"/>
      <c r="AD384" s="418"/>
    </row>
    <row r="385" spans="3:30" s="409" customFormat="1" ht="14.1" customHeight="1">
      <c r="C385" s="410"/>
      <c r="D385" s="410"/>
      <c r="E385" s="411"/>
      <c r="F385" s="411"/>
      <c r="G385" s="412"/>
      <c r="H385" s="411"/>
      <c r="I385" s="413"/>
      <c r="J385" s="410"/>
      <c r="N385" s="411"/>
      <c r="O385" s="411"/>
      <c r="P385" s="415"/>
      <c r="Q385" s="416"/>
      <c r="R385" s="422"/>
      <c r="S385" s="416"/>
      <c r="AA385" s="410"/>
      <c r="AD385" s="418"/>
    </row>
    <row r="386" spans="3:30" s="409" customFormat="1" ht="14.1" customHeight="1">
      <c r="C386" s="410"/>
      <c r="D386" s="410"/>
      <c r="E386" s="411"/>
      <c r="F386" s="411"/>
      <c r="G386" s="412"/>
      <c r="H386" s="411"/>
      <c r="I386" s="413"/>
      <c r="J386" s="410"/>
      <c r="N386" s="411"/>
      <c r="O386" s="411"/>
      <c r="P386" s="415"/>
      <c r="Q386" s="416"/>
      <c r="R386" s="422"/>
      <c r="S386" s="416"/>
      <c r="AA386" s="410"/>
      <c r="AD386" s="418"/>
    </row>
    <row r="387" spans="3:30" s="409" customFormat="1" ht="14.1" customHeight="1">
      <c r="C387" s="410"/>
      <c r="D387" s="410"/>
      <c r="E387" s="411"/>
      <c r="F387" s="411"/>
      <c r="G387" s="412"/>
      <c r="H387" s="411"/>
      <c r="I387" s="413"/>
      <c r="J387" s="410"/>
      <c r="N387" s="411"/>
      <c r="O387" s="411"/>
      <c r="P387" s="415"/>
      <c r="Q387" s="416"/>
      <c r="R387" s="422"/>
      <c r="S387" s="416"/>
      <c r="AA387" s="410"/>
      <c r="AD387" s="418"/>
    </row>
    <row r="388" spans="3:30" s="409" customFormat="1" ht="14.1" customHeight="1">
      <c r="C388" s="410"/>
      <c r="D388" s="410"/>
      <c r="E388" s="411"/>
      <c r="F388" s="411"/>
      <c r="G388" s="412"/>
      <c r="H388" s="411"/>
      <c r="I388" s="413"/>
      <c r="J388" s="410"/>
      <c r="N388" s="411"/>
      <c r="O388" s="411"/>
      <c r="P388" s="415"/>
      <c r="Q388" s="416"/>
      <c r="R388" s="422"/>
      <c r="S388" s="416"/>
      <c r="AA388" s="410"/>
      <c r="AD388" s="418"/>
    </row>
    <row r="389" spans="3:30" s="409" customFormat="1" ht="14.1" customHeight="1">
      <c r="C389" s="410"/>
      <c r="D389" s="410"/>
      <c r="E389" s="411"/>
      <c r="F389" s="411"/>
      <c r="G389" s="412"/>
      <c r="H389" s="411"/>
      <c r="I389" s="413"/>
      <c r="J389" s="410"/>
      <c r="N389" s="411"/>
      <c r="O389" s="411"/>
      <c r="P389" s="415"/>
      <c r="Q389" s="416"/>
      <c r="R389" s="422"/>
      <c r="S389" s="416"/>
      <c r="AA389" s="410"/>
      <c r="AD389" s="418"/>
    </row>
    <row r="390" spans="3:30" s="409" customFormat="1" ht="14.1" customHeight="1">
      <c r="C390" s="410"/>
      <c r="D390" s="410"/>
      <c r="E390" s="411"/>
      <c r="F390" s="411"/>
      <c r="G390" s="412"/>
      <c r="H390" s="411"/>
      <c r="I390" s="413"/>
      <c r="J390" s="410"/>
      <c r="N390" s="411"/>
      <c r="O390" s="411"/>
      <c r="P390" s="415"/>
      <c r="Q390" s="416"/>
      <c r="R390" s="422"/>
      <c r="S390" s="416"/>
      <c r="AA390" s="410"/>
      <c r="AD390" s="418"/>
    </row>
    <row r="391" spans="3:30" s="409" customFormat="1" ht="14.1" customHeight="1">
      <c r="C391" s="410"/>
      <c r="D391" s="410"/>
      <c r="E391" s="411"/>
      <c r="F391" s="411"/>
      <c r="G391" s="412"/>
      <c r="H391" s="411"/>
      <c r="I391" s="413"/>
      <c r="J391" s="410"/>
      <c r="N391" s="411"/>
      <c r="O391" s="411"/>
      <c r="P391" s="415"/>
      <c r="Q391" s="416"/>
      <c r="R391" s="422"/>
      <c r="S391" s="416"/>
      <c r="AA391" s="410"/>
      <c r="AD391" s="418"/>
    </row>
    <row r="392" spans="3:30" s="409" customFormat="1" ht="14.1" customHeight="1">
      <c r="C392" s="410"/>
      <c r="D392" s="410"/>
      <c r="E392" s="411"/>
      <c r="F392" s="411"/>
      <c r="G392" s="412"/>
      <c r="H392" s="411"/>
      <c r="I392" s="413"/>
      <c r="J392" s="410"/>
      <c r="N392" s="411"/>
      <c r="O392" s="411"/>
      <c r="P392" s="415"/>
      <c r="Q392" s="416"/>
      <c r="R392" s="422"/>
      <c r="S392" s="416"/>
      <c r="AA392" s="410"/>
      <c r="AD392" s="418"/>
    </row>
    <row r="393" spans="3:30" s="409" customFormat="1" ht="14.1" customHeight="1">
      <c r="C393" s="410"/>
      <c r="D393" s="410"/>
      <c r="E393" s="411"/>
      <c r="F393" s="411"/>
      <c r="G393" s="412"/>
      <c r="H393" s="411"/>
      <c r="I393" s="413"/>
      <c r="J393" s="410"/>
      <c r="N393" s="411"/>
      <c r="O393" s="411"/>
      <c r="P393" s="415"/>
      <c r="Q393" s="416"/>
      <c r="R393" s="422"/>
      <c r="S393" s="416"/>
      <c r="AA393" s="410"/>
      <c r="AD393" s="418"/>
    </row>
    <row r="394" spans="3:30" s="409" customFormat="1" ht="14.1" customHeight="1">
      <c r="C394" s="410"/>
      <c r="D394" s="410"/>
      <c r="E394" s="411"/>
      <c r="F394" s="411"/>
      <c r="G394" s="412"/>
      <c r="H394" s="411"/>
      <c r="I394" s="413"/>
      <c r="J394" s="410"/>
      <c r="N394" s="411"/>
      <c r="O394" s="411"/>
      <c r="P394" s="415"/>
      <c r="Q394" s="416"/>
      <c r="R394" s="422"/>
      <c r="S394" s="416"/>
      <c r="AA394" s="410"/>
      <c r="AD394" s="418"/>
    </row>
    <row r="395" spans="3:30" s="409" customFormat="1" ht="14.1" customHeight="1">
      <c r="C395" s="410"/>
      <c r="D395" s="410"/>
      <c r="E395" s="411"/>
      <c r="F395" s="411"/>
      <c r="G395" s="412"/>
      <c r="H395" s="411"/>
      <c r="I395" s="413"/>
      <c r="J395" s="410"/>
      <c r="N395" s="411"/>
      <c r="O395" s="411"/>
      <c r="P395" s="415"/>
      <c r="Q395" s="416"/>
      <c r="R395" s="422"/>
      <c r="S395" s="416"/>
      <c r="AA395" s="410"/>
      <c r="AD395" s="418"/>
    </row>
    <row r="396" spans="3:30" s="409" customFormat="1" ht="14.1" customHeight="1">
      <c r="C396" s="410"/>
      <c r="D396" s="410"/>
      <c r="E396" s="411"/>
      <c r="F396" s="411"/>
      <c r="G396" s="412"/>
      <c r="H396" s="411"/>
      <c r="I396" s="413"/>
      <c r="J396" s="410"/>
      <c r="N396" s="411"/>
      <c r="O396" s="411"/>
      <c r="P396" s="415"/>
      <c r="Q396" s="416"/>
      <c r="R396" s="422"/>
      <c r="S396" s="416"/>
      <c r="AA396" s="410"/>
      <c r="AD396" s="418"/>
    </row>
    <row r="397" spans="3:30" s="409" customFormat="1" ht="14.1" customHeight="1">
      <c r="C397" s="410"/>
      <c r="D397" s="410"/>
      <c r="E397" s="411"/>
      <c r="F397" s="411"/>
      <c r="G397" s="412"/>
      <c r="H397" s="411"/>
      <c r="I397" s="413"/>
      <c r="J397" s="410"/>
      <c r="N397" s="411"/>
      <c r="O397" s="411"/>
      <c r="P397" s="415"/>
      <c r="Q397" s="416"/>
      <c r="R397" s="422"/>
      <c r="S397" s="416"/>
      <c r="AA397" s="410"/>
      <c r="AD397" s="418"/>
    </row>
    <row r="398" spans="3:30" s="409" customFormat="1" ht="14.1" customHeight="1">
      <c r="C398" s="410"/>
      <c r="D398" s="410"/>
      <c r="E398" s="411"/>
      <c r="F398" s="411"/>
      <c r="G398" s="412"/>
      <c r="H398" s="411"/>
      <c r="I398" s="413"/>
      <c r="J398" s="410"/>
      <c r="N398" s="411"/>
      <c r="O398" s="411"/>
      <c r="P398" s="415"/>
      <c r="Q398" s="416"/>
      <c r="R398" s="422"/>
      <c r="S398" s="416"/>
      <c r="AA398" s="410"/>
      <c r="AD398" s="418"/>
    </row>
    <row r="399" spans="3:30" s="409" customFormat="1" ht="14.1" customHeight="1">
      <c r="C399" s="410"/>
      <c r="D399" s="410"/>
      <c r="E399" s="411"/>
      <c r="F399" s="411"/>
      <c r="G399" s="412"/>
      <c r="H399" s="411"/>
      <c r="I399" s="413"/>
      <c r="J399" s="410"/>
      <c r="N399" s="411"/>
      <c r="O399" s="411"/>
      <c r="P399" s="415"/>
      <c r="Q399" s="416"/>
      <c r="R399" s="422"/>
      <c r="S399" s="416"/>
      <c r="AA399" s="410"/>
      <c r="AD399" s="418"/>
    </row>
    <row r="400" spans="3:30" s="409" customFormat="1" ht="14.1" customHeight="1">
      <c r="C400" s="410"/>
      <c r="D400" s="410"/>
      <c r="E400" s="411"/>
      <c r="F400" s="411"/>
      <c r="G400" s="412"/>
      <c r="H400" s="411"/>
      <c r="I400" s="413"/>
      <c r="J400" s="410"/>
      <c r="N400" s="411"/>
      <c r="O400" s="411"/>
      <c r="P400" s="415"/>
      <c r="Q400" s="416"/>
      <c r="R400" s="422"/>
      <c r="S400" s="416"/>
      <c r="AA400" s="410"/>
      <c r="AD400" s="418"/>
    </row>
    <row r="401" spans="3:30" s="409" customFormat="1" ht="14.1" customHeight="1">
      <c r="C401" s="410"/>
      <c r="D401" s="410"/>
      <c r="E401" s="411"/>
      <c r="F401" s="411"/>
      <c r="G401" s="412"/>
      <c r="H401" s="411"/>
      <c r="I401" s="413"/>
      <c r="J401" s="410"/>
      <c r="N401" s="411"/>
      <c r="O401" s="411"/>
      <c r="P401" s="415"/>
      <c r="Q401" s="416"/>
      <c r="R401" s="422"/>
      <c r="S401" s="416"/>
      <c r="AA401" s="410"/>
      <c r="AD401" s="418"/>
    </row>
    <row r="402" spans="3:30" s="409" customFormat="1" ht="14.1" customHeight="1">
      <c r="C402" s="410"/>
      <c r="D402" s="410"/>
      <c r="E402" s="411"/>
      <c r="F402" s="411"/>
      <c r="G402" s="412"/>
      <c r="H402" s="411"/>
      <c r="I402" s="413"/>
      <c r="J402" s="410"/>
      <c r="N402" s="411"/>
      <c r="O402" s="411"/>
      <c r="P402" s="415"/>
      <c r="Q402" s="416"/>
      <c r="R402" s="422"/>
      <c r="S402" s="416"/>
      <c r="AA402" s="410"/>
      <c r="AD402" s="418"/>
    </row>
    <row r="403" spans="3:30" s="409" customFormat="1" ht="14.1" customHeight="1">
      <c r="C403" s="410"/>
      <c r="D403" s="410"/>
      <c r="E403" s="411"/>
      <c r="F403" s="411"/>
      <c r="G403" s="412"/>
      <c r="H403" s="411"/>
      <c r="I403" s="413"/>
      <c r="J403" s="410"/>
      <c r="N403" s="411"/>
      <c r="O403" s="411"/>
      <c r="P403" s="415"/>
      <c r="Q403" s="416"/>
      <c r="R403" s="422"/>
      <c r="S403" s="416"/>
      <c r="AA403" s="410"/>
      <c r="AD403" s="418"/>
    </row>
    <row r="404" spans="3:30" s="409" customFormat="1" ht="14.1" customHeight="1">
      <c r="C404" s="410"/>
      <c r="D404" s="410"/>
      <c r="E404" s="411"/>
      <c r="F404" s="411"/>
      <c r="G404" s="412"/>
      <c r="H404" s="411"/>
      <c r="I404" s="413"/>
      <c r="J404" s="410"/>
      <c r="N404" s="411"/>
      <c r="O404" s="411"/>
      <c r="P404" s="415"/>
      <c r="Q404" s="416"/>
      <c r="R404" s="422"/>
      <c r="S404" s="416"/>
      <c r="AA404" s="410"/>
      <c r="AD404" s="418"/>
    </row>
    <row r="405" spans="3:30" s="409" customFormat="1" ht="14.1" customHeight="1">
      <c r="C405" s="410"/>
      <c r="D405" s="410"/>
      <c r="E405" s="411"/>
      <c r="F405" s="411"/>
      <c r="G405" s="412"/>
      <c r="H405" s="411"/>
      <c r="I405" s="413"/>
      <c r="J405" s="410"/>
      <c r="N405" s="411"/>
      <c r="O405" s="411"/>
      <c r="P405" s="415"/>
      <c r="Q405" s="416"/>
      <c r="R405" s="422"/>
      <c r="S405" s="416"/>
      <c r="AA405" s="410"/>
      <c r="AD405" s="418"/>
    </row>
    <row r="406" spans="3:30" s="409" customFormat="1" ht="14.1" customHeight="1">
      <c r="C406" s="410"/>
      <c r="D406" s="410"/>
      <c r="E406" s="411"/>
      <c r="F406" s="411"/>
      <c r="G406" s="412"/>
      <c r="H406" s="411"/>
      <c r="I406" s="413"/>
      <c r="J406" s="410"/>
      <c r="N406" s="411"/>
      <c r="O406" s="411"/>
      <c r="P406" s="415"/>
      <c r="Q406" s="416"/>
      <c r="R406" s="422"/>
      <c r="S406" s="416"/>
      <c r="AA406" s="410"/>
      <c r="AD406" s="418"/>
    </row>
    <row r="407" spans="3:30">
      <c r="E407" s="55"/>
      <c r="F407" s="55"/>
      <c r="G407" s="419"/>
      <c r="H407" s="55"/>
      <c r="I407" s="59"/>
      <c r="T407" s="55"/>
    </row>
    <row r="408" spans="3:30">
      <c r="E408" s="55"/>
      <c r="F408" s="55"/>
      <c r="G408" s="419"/>
      <c r="H408" s="55"/>
      <c r="I408" s="59"/>
      <c r="T408" s="55"/>
    </row>
    <row r="409" spans="3:30">
      <c r="E409" s="55"/>
      <c r="F409" s="55"/>
      <c r="G409" s="419"/>
      <c r="H409" s="55"/>
      <c r="I409" s="59"/>
      <c r="T409" s="55"/>
    </row>
    <row r="410" spans="3:30">
      <c r="E410" s="55"/>
      <c r="F410" s="55"/>
      <c r="G410" s="419"/>
      <c r="H410" s="55"/>
      <c r="I410" s="59"/>
      <c r="T410" s="55"/>
    </row>
    <row r="411" spans="3:30">
      <c r="E411" s="55"/>
      <c r="F411" s="55"/>
      <c r="G411" s="419"/>
      <c r="H411" s="55"/>
      <c r="I411" s="59"/>
      <c r="T411" s="55"/>
    </row>
    <row r="412" spans="3:30">
      <c r="E412" s="55"/>
      <c r="F412" s="55"/>
      <c r="G412" s="419"/>
      <c r="H412" s="55"/>
      <c r="I412" s="59"/>
      <c r="T412" s="55"/>
    </row>
    <row r="413" spans="3:30">
      <c r="E413" s="55"/>
      <c r="F413" s="55"/>
      <c r="G413" s="419"/>
      <c r="H413" s="55"/>
      <c r="I413" s="59"/>
      <c r="T413" s="55"/>
    </row>
    <row r="414" spans="3:30">
      <c r="E414" s="55"/>
      <c r="F414" s="55"/>
      <c r="G414" s="419"/>
      <c r="H414" s="55"/>
      <c r="I414" s="59"/>
      <c r="T414" s="55"/>
    </row>
    <row r="415" spans="3:30">
      <c r="E415" s="55"/>
      <c r="F415" s="55"/>
      <c r="G415" s="419"/>
      <c r="H415" s="55"/>
      <c r="I415" s="59"/>
      <c r="T415" s="55"/>
    </row>
    <row r="416" spans="3:30">
      <c r="E416" s="55"/>
      <c r="F416" s="55"/>
      <c r="G416" s="419"/>
      <c r="H416" s="55"/>
      <c r="I416" s="59"/>
      <c r="T416" s="55"/>
    </row>
    <row r="417" spans="5:20">
      <c r="E417" s="55"/>
      <c r="F417" s="55"/>
      <c r="G417" s="419"/>
      <c r="H417" s="55"/>
      <c r="I417" s="59"/>
      <c r="T417" s="55"/>
    </row>
    <row r="418" spans="5:20">
      <c r="E418" s="55"/>
      <c r="F418" s="55"/>
      <c r="G418" s="419"/>
      <c r="H418" s="55"/>
      <c r="I418" s="59"/>
      <c r="T418" s="55"/>
    </row>
    <row r="419" spans="5:20">
      <c r="E419" s="55"/>
      <c r="F419" s="55"/>
      <c r="G419" s="419"/>
      <c r="H419" s="55"/>
      <c r="I419" s="59"/>
      <c r="T419" s="55"/>
    </row>
    <row r="420" spans="5:20">
      <c r="E420" s="55"/>
      <c r="F420" s="55"/>
      <c r="G420" s="419"/>
      <c r="H420" s="55"/>
      <c r="I420" s="59"/>
      <c r="T420" s="55"/>
    </row>
    <row r="421" spans="5:20">
      <c r="E421" s="55"/>
      <c r="F421" s="55"/>
      <c r="G421" s="419"/>
      <c r="H421" s="55"/>
      <c r="I421" s="59"/>
      <c r="T421" s="55"/>
    </row>
    <row r="422" spans="5:20">
      <c r="E422" s="55"/>
      <c r="F422" s="55"/>
      <c r="G422" s="419"/>
      <c r="H422" s="55"/>
      <c r="I422" s="59"/>
      <c r="T422" s="55"/>
    </row>
    <row r="423" spans="5:20">
      <c r="E423" s="55"/>
      <c r="F423" s="55"/>
      <c r="G423" s="419"/>
      <c r="H423" s="55"/>
      <c r="I423" s="59"/>
      <c r="T423" s="55"/>
    </row>
    <row r="424" spans="5:20">
      <c r="E424" s="55"/>
      <c r="F424" s="55"/>
      <c r="G424" s="419"/>
      <c r="H424" s="55"/>
      <c r="I424" s="59"/>
      <c r="T424" s="55"/>
    </row>
    <row r="425" spans="5:20">
      <c r="E425" s="55"/>
      <c r="F425" s="55"/>
      <c r="G425" s="419"/>
      <c r="H425" s="55"/>
      <c r="I425" s="59"/>
      <c r="T425" s="55"/>
    </row>
    <row r="426" spans="5:20">
      <c r="E426" s="55"/>
      <c r="F426" s="55"/>
      <c r="G426" s="419"/>
      <c r="H426" s="55"/>
      <c r="I426" s="59"/>
      <c r="T426" s="55"/>
    </row>
    <row r="427" spans="5:20">
      <c r="E427" s="55"/>
      <c r="F427" s="55"/>
      <c r="G427" s="419"/>
      <c r="H427" s="55"/>
      <c r="I427" s="59"/>
      <c r="T427" s="55"/>
    </row>
    <row r="428" spans="5:20">
      <c r="E428" s="55"/>
      <c r="F428" s="55"/>
      <c r="G428" s="419"/>
      <c r="H428" s="55"/>
      <c r="I428" s="59"/>
      <c r="T428" s="55"/>
    </row>
    <row r="429" spans="5:20">
      <c r="E429" s="55"/>
      <c r="F429" s="55"/>
      <c r="G429" s="419"/>
      <c r="H429" s="55"/>
      <c r="I429" s="59"/>
      <c r="T429" s="55"/>
    </row>
    <row r="430" spans="5:20">
      <c r="E430" s="55"/>
      <c r="F430" s="55"/>
      <c r="G430" s="419"/>
      <c r="H430" s="55"/>
      <c r="I430" s="59"/>
      <c r="T430" s="55"/>
    </row>
    <row r="431" spans="5:20">
      <c r="E431" s="55"/>
      <c r="F431" s="55"/>
      <c r="G431" s="419"/>
      <c r="H431" s="55"/>
      <c r="I431" s="59"/>
      <c r="T431" s="55"/>
    </row>
    <row r="432" spans="5:20">
      <c r="E432" s="55"/>
      <c r="F432" s="55"/>
      <c r="G432" s="419"/>
      <c r="H432" s="55"/>
      <c r="I432" s="59"/>
      <c r="T432" s="55"/>
    </row>
    <row r="433" spans="5:20">
      <c r="E433" s="55"/>
      <c r="F433" s="55"/>
      <c r="G433" s="419"/>
      <c r="H433" s="55"/>
      <c r="I433" s="59"/>
      <c r="T433" s="55"/>
    </row>
    <row r="434" spans="5:20">
      <c r="E434" s="55"/>
      <c r="F434" s="55"/>
      <c r="G434" s="419"/>
      <c r="H434" s="55"/>
      <c r="I434" s="59"/>
      <c r="T434" s="55"/>
    </row>
    <row r="435" spans="5:20">
      <c r="E435" s="55"/>
      <c r="F435" s="55"/>
      <c r="G435" s="419"/>
      <c r="H435" s="55"/>
      <c r="I435" s="59"/>
      <c r="T435" s="55"/>
    </row>
    <row r="436" spans="5:20">
      <c r="E436" s="55"/>
      <c r="F436" s="55"/>
      <c r="G436" s="419"/>
      <c r="H436" s="55"/>
      <c r="I436" s="59"/>
      <c r="T436" s="55"/>
    </row>
    <row r="437" spans="5:20">
      <c r="E437" s="55"/>
      <c r="F437" s="55"/>
      <c r="G437" s="419"/>
      <c r="H437" s="55"/>
      <c r="I437" s="59"/>
      <c r="T437" s="55"/>
    </row>
    <row r="438" spans="5:20">
      <c r="E438" s="55"/>
      <c r="F438" s="55"/>
      <c r="G438" s="419"/>
      <c r="H438" s="55"/>
      <c r="I438" s="59"/>
      <c r="T438" s="55"/>
    </row>
    <row r="439" spans="5:20">
      <c r="E439" s="55"/>
      <c r="F439" s="55"/>
      <c r="G439" s="419"/>
      <c r="H439" s="55"/>
      <c r="I439" s="59"/>
      <c r="T439" s="55"/>
    </row>
    <row r="440" spans="5:20">
      <c r="E440" s="55"/>
      <c r="F440" s="55"/>
      <c r="G440" s="419"/>
      <c r="H440" s="55"/>
      <c r="I440" s="59"/>
      <c r="T440" s="55"/>
    </row>
    <row r="441" spans="5:20">
      <c r="E441" s="55"/>
      <c r="F441" s="55"/>
      <c r="G441" s="419"/>
      <c r="H441" s="55"/>
      <c r="I441" s="59"/>
      <c r="T441" s="55"/>
    </row>
    <row r="442" spans="5:20">
      <c r="E442" s="55"/>
      <c r="F442" s="55"/>
      <c r="G442" s="419"/>
      <c r="H442" s="55"/>
      <c r="I442" s="59"/>
      <c r="T442" s="55"/>
    </row>
    <row r="443" spans="5:20">
      <c r="E443" s="55"/>
      <c r="F443" s="55"/>
      <c r="G443" s="419"/>
      <c r="H443" s="55"/>
      <c r="I443" s="59"/>
      <c r="T443" s="55"/>
    </row>
    <row r="444" spans="5:20">
      <c r="E444" s="55"/>
      <c r="F444" s="55"/>
      <c r="G444" s="419"/>
      <c r="H444" s="55"/>
      <c r="I444" s="59"/>
      <c r="T444" s="55"/>
    </row>
    <row r="445" spans="5:20">
      <c r="E445" s="55"/>
      <c r="F445" s="55"/>
      <c r="G445" s="419"/>
      <c r="H445" s="55"/>
      <c r="I445" s="59"/>
      <c r="T445" s="55"/>
    </row>
    <row r="446" spans="5:20">
      <c r="E446" s="55"/>
      <c r="F446" s="55"/>
      <c r="G446" s="419"/>
      <c r="H446" s="55"/>
      <c r="I446" s="59"/>
      <c r="T446" s="55"/>
    </row>
    <row r="447" spans="5:20">
      <c r="E447" s="55"/>
      <c r="F447" s="55"/>
      <c r="G447" s="419"/>
      <c r="H447" s="55"/>
      <c r="I447" s="59"/>
      <c r="T447" s="55"/>
    </row>
    <row r="448" spans="5:20">
      <c r="E448" s="55"/>
      <c r="F448" s="55"/>
      <c r="G448" s="419"/>
      <c r="H448" s="55"/>
      <c r="I448" s="59"/>
      <c r="T448" s="55"/>
    </row>
    <row r="449" spans="5:20">
      <c r="E449" s="55"/>
      <c r="F449" s="55"/>
      <c r="G449" s="419"/>
      <c r="H449" s="55"/>
      <c r="I449" s="59"/>
      <c r="T449" s="55"/>
    </row>
    <row r="450" spans="5:20">
      <c r="E450" s="55"/>
      <c r="F450" s="55"/>
      <c r="G450" s="419"/>
      <c r="H450" s="55"/>
      <c r="I450" s="59"/>
      <c r="T450" s="55"/>
    </row>
    <row r="451" spans="5:20">
      <c r="E451" s="55"/>
      <c r="F451" s="55"/>
      <c r="G451" s="419"/>
      <c r="H451" s="55"/>
      <c r="I451" s="59"/>
      <c r="T451" s="55"/>
    </row>
    <row r="452" spans="5:20">
      <c r="E452" s="55"/>
      <c r="F452" s="55"/>
      <c r="G452" s="419"/>
      <c r="H452" s="55"/>
      <c r="I452" s="59"/>
      <c r="T452" s="55"/>
    </row>
    <row r="453" spans="5:20">
      <c r="E453" s="55"/>
      <c r="F453" s="55"/>
      <c r="G453" s="419"/>
      <c r="H453" s="55"/>
      <c r="I453" s="59"/>
      <c r="T453" s="55"/>
    </row>
    <row r="454" spans="5:20">
      <c r="E454" s="55"/>
      <c r="F454" s="55"/>
      <c r="G454" s="419"/>
      <c r="H454" s="55"/>
      <c r="I454" s="59"/>
      <c r="T454" s="55"/>
    </row>
    <row r="455" spans="5:20">
      <c r="E455" s="55"/>
      <c r="F455" s="55"/>
      <c r="G455" s="419"/>
      <c r="H455" s="55"/>
      <c r="I455" s="59"/>
      <c r="T455" s="55"/>
    </row>
    <row r="456" spans="5:20">
      <c r="E456" s="55"/>
      <c r="F456" s="55"/>
      <c r="G456" s="419"/>
      <c r="H456" s="55"/>
      <c r="I456" s="59"/>
      <c r="T456" s="55"/>
    </row>
    <row r="457" spans="5:20">
      <c r="E457" s="55"/>
      <c r="F457" s="55"/>
      <c r="G457" s="419"/>
      <c r="H457" s="55"/>
      <c r="I457" s="59"/>
      <c r="T457" s="55"/>
    </row>
    <row r="458" spans="5:20">
      <c r="E458" s="55"/>
      <c r="F458" s="55"/>
      <c r="G458" s="419"/>
      <c r="H458" s="55"/>
      <c r="I458" s="59"/>
      <c r="T458" s="55"/>
    </row>
    <row r="459" spans="5:20">
      <c r="E459" s="55"/>
      <c r="F459" s="55"/>
      <c r="G459" s="419"/>
      <c r="H459" s="55"/>
      <c r="I459" s="59"/>
      <c r="T459" s="55"/>
    </row>
    <row r="460" spans="5:20">
      <c r="E460" s="55"/>
      <c r="F460" s="55"/>
      <c r="G460" s="419"/>
      <c r="H460" s="55"/>
      <c r="I460" s="59"/>
      <c r="T460" s="55"/>
    </row>
    <row r="461" spans="5:20">
      <c r="E461" s="55"/>
      <c r="F461" s="55"/>
      <c r="G461" s="419"/>
      <c r="H461" s="55"/>
      <c r="I461" s="59"/>
      <c r="T461" s="55"/>
    </row>
    <row r="462" spans="5:20">
      <c r="E462" s="55"/>
      <c r="F462" s="55"/>
      <c r="G462" s="419"/>
      <c r="H462" s="55"/>
      <c r="I462" s="59"/>
      <c r="T462" s="55"/>
    </row>
    <row r="463" spans="5:20">
      <c r="E463" s="55"/>
      <c r="F463" s="55"/>
      <c r="G463" s="419"/>
      <c r="H463" s="55"/>
      <c r="I463" s="59"/>
      <c r="T463" s="55"/>
    </row>
    <row r="464" spans="5:20">
      <c r="E464" s="55"/>
      <c r="F464" s="55"/>
      <c r="G464" s="419"/>
      <c r="H464" s="55"/>
      <c r="I464" s="59"/>
      <c r="T464" s="55"/>
    </row>
    <row r="465" spans="5:20">
      <c r="E465" s="55"/>
      <c r="F465" s="55"/>
      <c r="G465" s="419"/>
      <c r="H465" s="55"/>
      <c r="I465" s="59"/>
      <c r="T465" s="55"/>
    </row>
    <row r="466" spans="5:20">
      <c r="E466" s="55"/>
      <c r="F466" s="55"/>
      <c r="G466" s="419"/>
      <c r="H466" s="55"/>
      <c r="I466" s="59"/>
      <c r="T466" s="55"/>
    </row>
    <row r="467" spans="5:20">
      <c r="E467" s="55"/>
      <c r="F467" s="55"/>
      <c r="G467" s="419"/>
      <c r="H467" s="55"/>
      <c r="I467" s="59"/>
      <c r="T467" s="55"/>
    </row>
    <row r="468" spans="5:20">
      <c r="E468" s="55"/>
      <c r="F468" s="55"/>
      <c r="G468" s="419"/>
      <c r="H468" s="55"/>
      <c r="I468" s="59"/>
      <c r="T468" s="55"/>
    </row>
    <row r="469" spans="5:20">
      <c r="E469" s="55"/>
      <c r="F469" s="55"/>
      <c r="G469" s="419"/>
      <c r="H469" s="55"/>
      <c r="I469" s="59"/>
      <c r="T469" s="55"/>
    </row>
    <row r="470" spans="5:20">
      <c r="E470" s="55"/>
      <c r="F470" s="55"/>
      <c r="G470" s="419"/>
      <c r="H470" s="55"/>
      <c r="I470" s="59"/>
      <c r="T470" s="55"/>
    </row>
    <row r="471" spans="5:20">
      <c r="E471" s="55"/>
      <c r="F471" s="55"/>
      <c r="G471" s="419"/>
      <c r="H471" s="55"/>
      <c r="I471" s="59"/>
      <c r="T471" s="55"/>
    </row>
    <row r="472" spans="5:20">
      <c r="E472" s="55"/>
      <c r="F472" s="55"/>
      <c r="G472" s="419"/>
      <c r="H472" s="55"/>
      <c r="I472" s="59"/>
      <c r="T472" s="55"/>
    </row>
    <row r="473" spans="5:20">
      <c r="E473" s="55"/>
      <c r="F473" s="55"/>
      <c r="G473" s="419"/>
      <c r="H473" s="55"/>
      <c r="I473" s="59"/>
      <c r="T473" s="55"/>
    </row>
    <row r="474" spans="5:20">
      <c r="E474" s="55"/>
      <c r="F474" s="55"/>
      <c r="G474" s="419"/>
      <c r="H474" s="55"/>
      <c r="I474" s="59"/>
      <c r="T474" s="55"/>
    </row>
    <row r="475" spans="5:20">
      <c r="E475" s="55"/>
      <c r="F475" s="55"/>
      <c r="G475" s="419"/>
      <c r="H475" s="55"/>
      <c r="I475" s="59"/>
      <c r="T475" s="55"/>
    </row>
    <row r="476" spans="5:20">
      <c r="E476" s="55"/>
      <c r="F476" s="55"/>
      <c r="G476" s="419"/>
      <c r="H476" s="55"/>
      <c r="I476" s="59"/>
      <c r="T476" s="55"/>
    </row>
    <row r="477" spans="5:20">
      <c r="E477" s="55"/>
      <c r="F477" s="55"/>
      <c r="G477" s="419"/>
      <c r="H477" s="55"/>
      <c r="I477" s="59"/>
      <c r="T477" s="55"/>
    </row>
    <row r="478" spans="5:20">
      <c r="E478" s="55"/>
      <c r="F478" s="55"/>
      <c r="G478" s="419"/>
      <c r="H478" s="55"/>
      <c r="I478" s="59"/>
      <c r="T478" s="55"/>
    </row>
    <row r="479" spans="5:20">
      <c r="E479" s="55"/>
      <c r="F479" s="55"/>
      <c r="G479" s="419"/>
      <c r="H479" s="55"/>
      <c r="I479" s="59"/>
      <c r="T479" s="55"/>
    </row>
    <row r="480" spans="5:20">
      <c r="E480" s="55"/>
      <c r="F480" s="55"/>
      <c r="G480" s="419"/>
      <c r="H480" s="55"/>
      <c r="I480" s="59"/>
      <c r="T480" s="55"/>
    </row>
    <row r="481" spans="5:20">
      <c r="E481" s="55"/>
      <c r="F481" s="55"/>
      <c r="G481" s="419"/>
      <c r="H481" s="55"/>
      <c r="I481" s="59"/>
      <c r="T481" s="55"/>
    </row>
    <row r="482" spans="5:20">
      <c r="E482" s="55"/>
      <c r="F482" s="55"/>
      <c r="G482" s="419"/>
      <c r="H482" s="55"/>
      <c r="I482" s="59"/>
      <c r="T482" s="55"/>
    </row>
    <row r="483" spans="5:20">
      <c r="E483" s="55"/>
      <c r="F483" s="55"/>
      <c r="G483" s="419"/>
      <c r="H483" s="55"/>
      <c r="I483" s="59"/>
      <c r="T483" s="55"/>
    </row>
    <row r="484" spans="5:20">
      <c r="E484" s="55"/>
      <c r="F484" s="55"/>
      <c r="G484" s="419"/>
      <c r="H484" s="55"/>
      <c r="I484" s="59"/>
      <c r="T484" s="55"/>
    </row>
    <row r="485" spans="5:20">
      <c r="E485" s="55"/>
      <c r="F485" s="55"/>
      <c r="G485" s="419"/>
      <c r="H485" s="55"/>
      <c r="I485" s="59"/>
      <c r="T485" s="55"/>
    </row>
    <row r="486" spans="5:20">
      <c r="E486" s="55"/>
      <c r="F486" s="55"/>
      <c r="G486" s="419"/>
      <c r="H486" s="55"/>
      <c r="I486" s="59"/>
      <c r="T486" s="55"/>
    </row>
    <row r="487" spans="5:20">
      <c r="E487" s="55"/>
      <c r="F487" s="55"/>
      <c r="G487" s="419"/>
      <c r="H487" s="55"/>
      <c r="I487" s="59"/>
      <c r="T487" s="55"/>
    </row>
    <row r="488" spans="5:20">
      <c r="E488" s="55"/>
      <c r="F488" s="55"/>
      <c r="G488" s="419"/>
      <c r="H488" s="55"/>
      <c r="I488" s="59"/>
      <c r="T488" s="55"/>
    </row>
    <row r="489" spans="5:20">
      <c r="E489" s="55"/>
      <c r="F489" s="55"/>
      <c r="G489" s="419"/>
      <c r="H489" s="55"/>
      <c r="I489" s="59"/>
      <c r="T489" s="55"/>
    </row>
    <row r="490" spans="5:20">
      <c r="E490" s="55"/>
      <c r="F490" s="55"/>
      <c r="G490" s="419"/>
      <c r="H490" s="55"/>
      <c r="I490" s="59"/>
      <c r="T490" s="55"/>
    </row>
    <row r="491" spans="5:20">
      <c r="E491" s="55"/>
      <c r="F491" s="55"/>
      <c r="G491" s="419"/>
      <c r="H491" s="55"/>
      <c r="I491" s="59"/>
      <c r="T491" s="55"/>
    </row>
    <row r="492" spans="5:20">
      <c r="E492" s="55"/>
      <c r="F492" s="55"/>
      <c r="G492" s="419"/>
      <c r="H492" s="55"/>
      <c r="I492" s="59"/>
      <c r="T492" s="55"/>
    </row>
    <row r="493" spans="5:20">
      <c r="E493" s="55"/>
      <c r="F493" s="55"/>
      <c r="G493" s="419"/>
      <c r="H493" s="55"/>
      <c r="I493" s="59"/>
      <c r="T493" s="55"/>
    </row>
    <row r="494" spans="5:20">
      <c r="E494" s="55"/>
      <c r="F494" s="55"/>
      <c r="G494" s="419"/>
      <c r="H494" s="55"/>
      <c r="I494" s="59"/>
      <c r="T494" s="55"/>
    </row>
    <row r="495" spans="5:20">
      <c r="E495" s="55"/>
      <c r="F495" s="55"/>
      <c r="G495" s="419"/>
      <c r="H495" s="55"/>
      <c r="I495" s="59"/>
      <c r="T495" s="55"/>
    </row>
    <row r="496" spans="5:20">
      <c r="E496" s="55"/>
      <c r="F496" s="55"/>
      <c r="G496" s="419"/>
      <c r="H496" s="55"/>
      <c r="I496" s="59"/>
      <c r="T496" s="55"/>
    </row>
    <row r="497" spans="5:20">
      <c r="E497" s="55"/>
      <c r="F497" s="55"/>
      <c r="G497" s="419"/>
      <c r="H497" s="55"/>
      <c r="I497" s="59"/>
      <c r="T497" s="55"/>
    </row>
    <row r="498" spans="5:20">
      <c r="E498" s="55"/>
      <c r="F498" s="55"/>
      <c r="G498" s="419"/>
      <c r="H498" s="55"/>
      <c r="I498" s="59"/>
      <c r="T498" s="55"/>
    </row>
    <row r="499" spans="5:20">
      <c r="E499" s="55"/>
      <c r="F499" s="55"/>
      <c r="G499" s="419"/>
      <c r="H499" s="55"/>
      <c r="I499" s="59"/>
      <c r="T499" s="55"/>
    </row>
    <row r="500" spans="5:20">
      <c r="E500" s="55"/>
      <c r="F500" s="55"/>
      <c r="G500" s="419"/>
      <c r="H500" s="55"/>
      <c r="I500" s="59"/>
      <c r="T500" s="55"/>
    </row>
    <row r="501" spans="5:20">
      <c r="E501" s="55"/>
      <c r="F501" s="55"/>
      <c r="G501" s="419"/>
      <c r="H501" s="55"/>
      <c r="I501" s="59"/>
      <c r="T501" s="55"/>
    </row>
    <row r="502" spans="5:20">
      <c r="E502" s="55"/>
      <c r="F502" s="55"/>
      <c r="G502" s="419"/>
      <c r="H502" s="55"/>
      <c r="I502" s="59"/>
      <c r="T502" s="55"/>
    </row>
    <row r="503" spans="5:20">
      <c r="E503" s="55"/>
      <c r="F503" s="55"/>
      <c r="G503" s="419"/>
      <c r="H503" s="55"/>
      <c r="I503" s="59"/>
      <c r="T503" s="55"/>
    </row>
    <row r="504" spans="5:20">
      <c r="E504" s="55"/>
      <c r="F504" s="55"/>
      <c r="G504" s="419"/>
      <c r="H504" s="55"/>
      <c r="I504" s="59"/>
      <c r="T504" s="55"/>
    </row>
    <row r="505" spans="5:20">
      <c r="E505" s="55"/>
      <c r="F505" s="55"/>
      <c r="G505" s="419"/>
      <c r="H505" s="55"/>
      <c r="I505" s="59"/>
      <c r="T505" s="55"/>
    </row>
    <row r="506" spans="5:20">
      <c r="E506" s="55"/>
      <c r="F506" s="55"/>
      <c r="G506" s="419"/>
      <c r="H506" s="55"/>
      <c r="I506" s="59"/>
      <c r="T506" s="55"/>
    </row>
    <row r="507" spans="5:20">
      <c r="E507" s="55"/>
      <c r="F507" s="55"/>
      <c r="G507" s="419"/>
      <c r="H507" s="55"/>
      <c r="I507" s="59"/>
      <c r="T507" s="55"/>
    </row>
    <row r="508" spans="5:20">
      <c r="E508" s="55"/>
      <c r="F508" s="55"/>
      <c r="G508" s="419"/>
      <c r="H508" s="55"/>
      <c r="I508" s="59"/>
      <c r="T508" s="55"/>
    </row>
    <row r="509" spans="5:20">
      <c r="E509" s="55"/>
      <c r="F509" s="55"/>
      <c r="G509" s="419"/>
      <c r="H509" s="55"/>
      <c r="I509" s="59"/>
      <c r="T509" s="55"/>
    </row>
    <row r="510" spans="5:20">
      <c r="E510" s="55"/>
      <c r="F510" s="55"/>
      <c r="G510" s="419"/>
      <c r="H510" s="55"/>
      <c r="I510" s="59"/>
      <c r="T510" s="55"/>
    </row>
    <row r="511" spans="5:20">
      <c r="E511" s="55"/>
      <c r="F511" s="55"/>
      <c r="G511" s="419"/>
      <c r="H511" s="55"/>
      <c r="I511" s="59"/>
      <c r="T511" s="55"/>
    </row>
    <row r="512" spans="5:20">
      <c r="E512" s="55"/>
      <c r="F512" s="55"/>
      <c r="G512" s="419"/>
      <c r="H512" s="55"/>
      <c r="I512" s="59"/>
      <c r="T512" s="55"/>
    </row>
    <row r="513" spans="5:20">
      <c r="E513" s="55"/>
      <c r="F513" s="55"/>
      <c r="G513" s="419"/>
      <c r="H513" s="55"/>
      <c r="I513" s="59"/>
      <c r="T513" s="55"/>
    </row>
    <row r="514" spans="5:20">
      <c r="E514" s="55"/>
      <c r="F514" s="55"/>
      <c r="G514" s="419"/>
      <c r="H514" s="55"/>
      <c r="I514" s="59"/>
      <c r="T514" s="55"/>
    </row>
    <row r="515" spans="5:20">
      <c r="E515" s="55"/>
      <c r="F515" s="55"/>
      <c r="G515" s="419"/>
      <c r="H515" s="55"/>
      <c r="I515" s="59"/>
      <c r="T515" s="55"/>
    </row>
    <row r="516" spans="5:20">
      <c r="E516" s="55"/>
      <c r="F516" s="55"/>
      <c r="G516" s="419"/>
      <c r="H516" s="55"/>
      <c r="I516" s="59"/>
      <c r="T516" s="55"/>
    </row>
    <row r="517" spans="5:20">
      <c r="E517" s="55"/>
      <c r="F517" s="55"/>
      <c r="G517" s="419"/>
      <c r="H517" s="55"/>
      <c r="I517" s="59"/>
      <c r="T517" s="55"/>
    </row>
    <row r="518" spans="5:20">
      <c r="E518" s="55"/>
      <c r="F518" s="55"/>
      <c r="G518" s="419"/>
      <c r="H518" s="55"/>
      <c r="I518" s="59"/>
      <c r="T518" s="55"/>
    </row>
    <row r="519" spans="5:20">
      <c r="E519" s="55"/>
      <c r="F519" s="55"/>
      <c r="G519" s="419"/>
      <c r="H519" s="55"/>
      <c r="I519" s="59"/>
      <c r="T519" s="55"/>
    </row>
    <row r="520" spans="5:20">
      <c r="E520" s="55"/>
      <c r="F520" s="55"/>
      <c r="G520" s="419"/>
      <c r="H520" s="55"/>
      <c r="I520" s="59"/>
      <c r="T520" s="55"/>
    </row>
    <row r="521" spans="5:20">
      <c r="E521" s="55"/>
      <c r="F521" s="55"/>
      <c r="G521" s="419"/>
      <c r="H521" s="55"/>
      <c r="I521" s="59"/>
      <c r="T521" s="55"/>
    </row>
    <row r="522" spans="5:20">
      <c r="E522" s="55"/>
      <c r="F522" s="55"/>
      <c r="G522" s="419"/>
      <c r="H522" s="55"/>
      <c r="I522" s="59"/>
      <c r="T522" s="55"/>
    </row>
    <row r="523" spans="5:20">
      <c r="E523" s="55"/>
      <c r="F523" s="55"/>
      <c r="G523" s="419"/>
      <c r="H523" s="55"/>
      <c r="I523" s="59"/>
      <c r="T523" s="55"/>
    </row>
    <row r="524" spans="5:20">
      <c r="E524" s="55"/>
      <c r="F524" s="55"/>
      <c r="G524" s="419"/>
      <c r="H524" s="55"/>
      <c r="I524" s="59"/>
      <c r="T524" s="55"/>
    </row>
    <row r="525" spans="5:20">
      <c r="E525" s="55"/>
      <c r="F525" s="55"/>
      <c r="G525" s="419"/>
      <c r="H525" s="55"/>
      <c r="I525" s="59"/>
      <c r="T525" s="55"/>
    </row>
    <row r="526" spans="5:20">
      <c r="E526" s="55"/>
      <c r="F526" s="55"/>
      <c r="G526" s="419"/>
      <c r="H526" s="55"/>
      <c r="I526" s="59"/>
      <c r="T526" s="55"/>
    </row>
    <row r="527" spans="5:20">
      <c r="E527" s="55"/>
      <c r="F527" s="55"/>
      <c r="G527" s="419"/>
      <c r="H527" s="55"/>
      <c r="I527" s="59"/>
      <c r="T527" s="55"/>
    </row>
    <row r="528" spans="5:20">
      <c r="E528" s="55"/>
      <c r="F528" s="55"/>
      <c r="G528" s="419"/>
      <c r="H528" s="55"/>
      <c r="I528" s="59"/>
      <c r="T528" s="55"/>
    </row>
    <row r="529" spans="5:20">
      <c r="E529" s="55"/>
      <c r="F529" s="55"/>
      <c r="G529" s="419"/>
      <c r="H529" s="55"/>
      <c r="I529" s="59"/>
      <c r="T529" s="55"/>
    </row>
    <row r="530" spans="5:20">
      <c r="E530" s="55"/>
      <c r="F530" s="55"/>
      <c r="G530" s="419"/>
      <c r="H530" s="55"/>
      <c r="I530" s="59"/>
      <c r="T530" s="55"/>
    </row>
    <row r="531" spans="5:20">
      <c r="E531" s="55"/>
      <c r="F531" s="55"/>
      <c r="G531" s="419"/>
      <c r="H531" s="55"/>
      <c r="I531" s="59"/>
      <c r="T531" s="55"/>
    </row>
    <row r="532" spans="5:20">
      <c r="E532" s="55"/>
      <c r="F532" s="55"/>
      <c r="G532" s="419"/>
      <c r="H532" s="55"/>
      <c r="I532" s="59"/>
      <c r="T532" s="55"/>
    </row>
    <row r="533" spans="5:20">
      <c r="E533" s="55"/>
      <c r="F533" s="55"/>
      <c r="G533" s="419"/>
      <c r="H533" s="55"/>
      <c r="I533" s="59"/>
      <c r="T533" s="55"/>
    </row>
    <row r="534" spans="5:20">
      <c r="E534" s="55"/>
      <c r="F534" s="55"/>
      <c r="G534" s="419"/>
      <c r="H534" s="55"/>
      <c r="I534" s="59"/>
      <c r="T534" s="55"/>
    </row>
    <row r="535" spans="5:20">
      <c r="E535" s="55"/>
      <c r="F535" s="55"/>
      <c r="G535" s="419"/>
      <c r="H535" s="55"/>
      <c r="I535" s="59"/>
      <c r="T535" s="55"/>
    </row>
    <row r="536" spans="5:20">
      <c r="E536" s="55"/>
      <c r="F536" s="55"/>
      <c r="G536" s="419"/>
      <c r="H536" s="55"/>
      <c r="I536" s="59"/>
      <c r="T536" s="55"/>
    </row>
    <row r="537" spans="5:20">
      <c r="E537" s="55"/>
      <c r="F537" s="55"/>
      <c r="G537" s="419"/>
      <c r="H537" s="55"/>
      <c r="I537" s="59"/>
      <c r="T537" s="55"/>
    </row>
    <row r="538" spans="5:20">
      <c r="E538" s="55"/>
      <c r="F538" s="55"/>
      <c r="G538" s="419"/>
      <c r="H538" s="55"/>
      <c r="I538" s="59"/>
      <c r="T538" s="55"/>
    </row>
    <row r="539" spans="5:20">
      <c r="E539" s="55"/>
      <c r="F539" s="55"/>
      <c r="G539" s="419"/>
      <c r="H539" s="55"/>
      <c r="I539" s="59"/>
      <c r="T539" s="55"/>
    </row>
    <row r="540" spans="5:20">
      <c r="E540" s="55"/>
      <c r="F540" s="55"/>
      <c r="G540" s="419"/>
      <c r="H540" s="55"/>
      <c r="I540" s="59"/>
      <c r="T540" s="55"/>
    </row>
    <row r="541" spans="5:20">
      <c r="E541" s="55"/>
      <c r="F541" s="55"/>
      <c r="G541" s="419"/>
      <c r="H541" s="55"/>
      <c r="I541" s="59"/>
      <c r="T541" s="55"/>
    </row>
    <row r="542" spans="5:20">
      <c r="E542" s="55"/>
      <c r="F542" s="55"/>
      <c r="G542" s="419"/>
      <c r="H542" s="55"/>
      <c r="I542" s="59"/>
      <c r="T542" s="55"/>
    </row>
    <row r="543" spans="5:20">
      <c r="E543" s="55"/>
      <c r="F543" s="55"/>
      <c r="G543" s="419"/>
      <c r="H543" s="55"/>
      <c r="I543" s="59"/>
      <c r="T543" s="55"/>
    </row>
    <row r="544" spans="5:20">
      <c r="E544" s="55"/>
      <c r="F544" s="55"/>
      <c r="G544" s="419"/>
      <c r="H544" s="55"/>
      <c r="I544" s="59"/>
      <c r="T544" s="55"/>
    </row>
    <row r="545" spans="5:20">
      <c r="E545" s="55"/>
      <c r="F545" s="55"/>
      <c r="G545" s="419"/>
      <c r="H545" s="55"/>
      <c r="I545" s="59"/>
      <c r="T545" s="55"/>
    </row>
    <row r="546" spans="5:20">
      <c r="E546" s="55"/>
      <c r="F546" s="55"/>
      <c r="G546" s="419"/>
      <c r="H546" s="55"/>
      <c r="I546" s="59"/>
      <c r="T546" s="55"/>
    </row>
    <row r="547" spans="5:20">
      <c r="E547" s="55"/>
      <c r="F547" s="55"/>
      <c r="G547" s="419"/>
      <c r="H547" s="55"/>
      <c r="I547" s="59"/>
      <c r="T547" s="55"/>
    </row>
    <row r="548" spans="5:20">
      <c r="E548" s="55"/>
      <c r="F548" s="55"/>
      <c r="G548" s="419"/>
      <c r="H548" s="55"/>
      <c r="I548" s="59"/>
      <c r="T548" s="55"/>
    </row>
    <row r="549" spans="5:20">
      <c r="E549" s="55"/>
      <c r="F549" s="55"/>
      <c r="G549" s="419"/>
      <c r="H549" s="55"/>
      <c r="I549" s="59"/>
      <c r="T549" s="55"/>
    </row>
    <row r="550" spans="5:20">
      <c r="E550" s="55"/>
      <c r="F550" s="55"/>
      <c r="G550" s="419"/>
      <c r="H550" s="55"/>
      <c r="I550" s="59"/>
      <c r="T550" s="55"/>
    </row>
    <row r="551" spans="5:20">
      <c r="E551" s="55"/>
      <c r="F551" s="55"/>
      <c r="G551" s="419"/>
      <c r="H551" s="55"/>
      <c r="I551" s="59"/>
      <c r="T551" s="55"/>
    </row>
    <row r="552" spans="5:20">
      <c r="E552" s="55"/>
      <c r="F552" s="55"/>
      <c r="G552" s="419"/>
      <c r="H552" s="55"/>
      <c r="I552" s="59"/>
      <c r="T552" s="55"/>
    </row>
    <row r="553" spans="5:20">
      <c r="E553" s="55"/>
      <c r="F553" s="55"/>
      <c r="G553" s="419"/>
      <c r="H553" s="55"/>
      <c r="I553" s="59"/>
      <c r="T553" s="55"/>
    </row>
    <row r="554" spans="5:20">
      <c r="E554" s="55"/>
      <c r="F554" s="55"/>
      <c r="G554" s="419"/>
      <c r="H554" s="55"/>
      <c r="I554" s="59"/>
      <c r="T554" s="55"/>
    </row>
    <row r="555" spans="5:20">
      <c r="E555" s="55"/>
      <c r="F555" s="55"/>
      <c r="G555" s="419"/>
      <c r="H555" s="55"/>
      <c r="I555" s="59"/>
      <c r="T555" s="55"/>
    </row>
    <row r="556" spans="5:20">
      <c r="E556" s="55"/>
      <c r="F556" s="55"/>
      <c r="G556" s="419"/>
      <c r="H556" s="55"/>
      <c r="I556" s="59"/>
      <c r="T556" s="55"/>
    </row>
    <row r="557" spans="5:20">
      <c r="E557" s="55"/>
      <c r="F557" s="55"/>
      <c r="G557" s="419"/>
      <c r="H557" s="55"/>
      <c r="I557" s="59"/>
      <c r="T557" s="55"/>
    </row>
    <row r="558" spans="5:20">
      <c r="E558" s="55"/>
      <c r="F558" s="55"/>
      <c r="G558" s="419"/>
      <c r="H558" s="55"/>
      <c r="I558" s="59"/>
      <c r="T558" s="55"/>
    </row>
    <row r="559" spans="5:20">
      <c r="E559" s="55"/>
      <c r="F559" s="55"/>
      <c r="G559" s="419"/>
      <c r="H559" s="55"/>
      <c r="I559" s="59"/>
      <c r="T559" s="55"/>
    </row>
    <row r="560" spans="5:20">
      <c r="E560" s="55"/>
      <c r="F560" s="55"/>
      <c r="G560" s="419"/>
      <c r="H560" s="55"/>
      <c r="I560" s="59"/>
      <c r="T560" s="55"/>
    </row>
    <row r="561" spans="5:20">
      <c r="E561" s="55"/>
      <c r="F561" s="55"/>
      <c r="G561" s="419"/>
      <c r="H561" s="55"/>
      <c r="I561" s="59"/>
      <c r="T561" s="55"/>
    </row>
    <row r="562" spans="5:20">
      <c r="E562" s="55"/>
      <c r="F562" s="55"/>
      <c r="G562" s="419"/>
      <c r="H562" s="55"/>
      <c r="I562" s="59"/>
      <c r="T562" s="55"/>
    </row>
    <row r="563" spans="5:20">
      <c r="E563" s="55"/>
      <c r="F563" s="55"/>
      <c r="G563" s="419"/>
      <c r="H563" s="55"/>
      <c r="I563" s="59"/>
      <c r="T563" s="55"/>
    </row>
    <row r="564" spans="5:20">
      <c r="E564" s="55"/>
      <c r="F564" s="55"/>
      <c r="G564" s="419"/>
      <c r="H564" s="55"/>
      <c r="I564" s="59"/>
      <c r="T564" s="55"/>
    </row>
    <row r="565" spans="5:20">
      <c r="E565" s="55"/>
      <c r="F565" s="55"/>
      <c r="G565" s="419"/>
      <c r="H565" s="55"/>
      <c r="I565" s="59"/>
      <c r="T565" s="55"/>
    </row>
    <row r="566" spans="5:20">
      <c r="E566" s="55"/>
      <c r="F566" s="55"/>
      <c r="G566" s="419"/>
      <c r="H566" s="55"/>
      <c r="I566" s="59"/>
      <c r="T566" s="55"/>
    </row>
    <row r="567" spans="5:20">
      <c r="E567" s="55"/>
      <c r="F567" s="55"/>
      <c r="G567" s="419"/>
      <c r="H567" s="55"/>
      <c r="I567" s="59"/>
      <c r="T567" s="55"/>
    </row>
    <row r="568" spans="5:20">
      <c r="E568" s="55"/>
      <c r="F568" s="55"/>
      <c r="G568" s="419"/>
      <c r="H568" s="55"/>
      <c r="I568" s="59"/>
      <c r="T568" s="55"/>
    </row>
    <row r="569" spans="5:20">
      <c r="E569" s="55"/>
      <c r="F569" s="55"/>
      <c r="G569" s="419"/>
      <c r="H569" s="55"/>
      <c r="I569" s="59"/>
      <c r="T569" s="55"/>
    </row>
    <row r="570" spans="5:20">
      <c r="E570" s="55"/>
      <c r="F570" s="55"/>
      <c r="G570" s="419"/>
      <c r="H570" s="55"/>
      <c r="I570" s="59"/>
      <c r="T570" s="55"/>
    </row>
    <row r="571" spans="5:20">
      <c r="E571" s="55"/>
      <c r="F571" s="55"/>
      <c r="G571" s="419"/>
      <c r="H571" s="55"/>
      <c r="I571" s="59"/>
      <c r="T571" s="55"/>
    </row>
    <row r="572" spans="5:20">
      <c r="E572" s="55"/>
      <c r="F572" s="55"/>
      <c r="G572" s="419"/>
      <c r="H572" s="55"/>
      <c r="I572" s="59"/>
      <c r="T572" s="55"/>
    </row>
    <row r="573" spans="5:20">
      <c r="E573" s="55"/>
      <c r="F573" s="55"/>
      <c r="G573" s="419"/>
      <c r="H573" s="55"/>
      <c r="I573" s="59"/>
      <c r="T573" s="55"/>
    </row>
    <row r="574" spans="5:20">
      <c r="E574" s="55"/>
      <c r="F574" s="55"/>
      <c r="G574" s="419"/>
      <c r="H574" s="55"/>
      <c r="I574" s="59"/>
      <c r="T574" s="55"/>
    </row>
    <row r="575" spans="5:20">
      <c r="E575" s="55"/>
      <c r="F575" s="55"/>
      <c r="G575" s="419"/>
      <c r="H575" s="55"/>
      <c r="I575" s="59"/>
      <c r="T575" s="55"/>
    </row>
    <row r="576" spans="5:20">
      <c r="E576" s="55"/>
      <c r="F576" s="55"/>
      <c r="G576" s="419"/>
      <c r="H576" s="55"/>
      <c r="I576" s="59"/>
      <c r="T576" s="55"/>
    </row>
    <row r="577" spans="5:20">
      <c r="E577" s="55"/>
      <c r="F577" s="55"/>
      <c r="G577" s="419"/>
      <c r="H577" s="55"/>
      <c r="I577" s="59"/>
      <c r="T577" s="55"/>
    </row>
    <row r="578" spans="5:20">
      <c r="E578" s="55"/>
      <c r="F578" s="55"/>
      <c r="G578" s="419"/>
      <c r="H578" s="55"/>
      <c r="I578" s="59"/>
      <c r="T578" s="55"/>
    </row>
    <row r="579" spans="5:20">
      <c r="E579" s="55"/>
      <c r="F579" s="55"/>
      <c r="G579" s="419"/>
      <c r="H579" s="55"/>
      <c r="I579" s="59"/>
      <c r="T579" s="55"/>
    </row>
    <row r="580" spans="5:20">
      <c r="E580" s="55"/>
      <c r="F580" s="55"/>
      <c r="G580" s="419"/>
      <c r="H580" s="55"/>
      <c r="I580" s="59"/>
      <c r="T580" s="55"/>
    </row>
    <row r="581" spans="5:20">
      <c r="E581" s="55"/>
      <c r="F581" s="55"/>
      <c r="G581" s="419"/>
      <c r="H581" s="55"/>
      <c r="I581" s="59"/>
      <c r="T581" s="55"/>
    </row>
    <row r="582" spans="5:20">
      <c r="E582" s="55"/>
      <c r="F582" s="55"/>
      <c r="G582" s="419"/>
      <c r="H582" s="55"/>
      <c r="I582" s="59"/>
      <c r="T582" s="55"/>
    </row>
    <row r="583" spans="5:20">
      <c r="E583" s="55"/>
      <c r="F583" s="55"/>
      <c r="G583" s="419"/>
      <c r="H583" s="55"/>
      <c r="I583" s="59"/>
      <c r="T583" s="55"/>
    </row>
    <row r="584" spans="5:20">
      <c r="E584" s="55"/>
      <c r="F584" s="55"/>
      <c r="G584" s="419"/>
      <c r="H584" s="55"/>
      <c r="I584" s="59"/>
      <c r="T584" s="55"/>
    </row>
    <row r="585" spans="5:20">
      <c r="E585" s="55"/>
      <c r="F585" s="55"/>
      <c r="G585" s="419"/>
      <c r="H585" s="55"/>
      <c r="I585" s="59"/>
      <c r="T585" s="55"/>
    </row>
    <row r="586" spans="5:20">
      <c r="E586" s="55"/>
      <c r="F586" s="55"/>
      <c r="G586" s="419"/>
      <c r="H586" s="55"/>
      <c r="I586" s="59"/>
      <c r="T586" s="55"/>
    </row>
    <row r="587" spans="5:20">
      <c r="E587" s="55"/>
      <c r="F587" s="55"/>
      <c r="G587" s="419"/>
      <c r="H587" s="55"/>
      <c r="I587" s="59"/>
      <c r="T587" s="55"/>
    </row>
    <row r="588" spans="5:20">
      <c r="E588" s="55"/>
      <c r="F588" s="55"/>
      <c r="G588" s="419"/>
      <c r="H588" s="55"/>
      <c r="I588" s="59"/>
      <c r="T588" s="55"/>
    </row>
    <row r="589" spans="5:20">
      <c r="E589" s="55"/>
      <c r="F589" s="55"/>
      <c r="G589" s="419"/>
      <c r="H589" s="55"/>
      <c r="I589" s="59"/>
      <c r="T589" s="55"/>
    </row>
    <row r="590" spans="5:20">
      <c r="E590" s="55"/>
      <c r="F590" s="55"/>
      <c r="G590" s="419"/>
      <c r="H590" s="55"/>
      <c r="I590" s="59"/>
      <c r="T590" s="55"/>
    </row>
    <row r="591" spans="5:20">
      <c r="E591" s="55"/>
      <c r="F591" s="55"/>
      <c r="G591" s="419"/>
      <c r="H591" s="55"/>
      <c r="I591" s="59"/>
      <c r="T591" s="55"/>
    </row>
    <row r="592" spans="5:20">
      <c r="E592" s="55"/>
      <c r="F592" s="55"/>
      <c r="G592" s="419"/>
      <c r="H592" s="55"/>
      <c r="I592" s="59"/>
      <c r="T592" s="55"/>
    </row>
    <row r="593" spans="5:20">
      <c r="E593" s="55"/>
      <c r="F593" s="55"/>
      <c r="G593" s="419"/>
      <c r="H593" s="55"/>
      <c r="I593" s="59"/>
      <c r="T593" s="55"/>
    </row>
    <row r="594" spans="5:20">
      <c r="E594" s="55"/>
      <c r="F594" s="55"/>
      <c r="G594" s="419"/>
      <c r="H594" s="55"/>
      <c r="I594" s="59"/>
      <c r="T594" s="55"/>
    </row>
    <row r="595" spans="5:20">
      <c r="E595" s="55"/>
      <c r="F595" s="55"/>
      <c r="G595" s="419"/>
      <c r="H595" s="55"/>
      <c r="I595" s="59"/>
      <c r="T595" s="55"/>
    </row>
    <row r="596" spans="5:20">
      <c r="E596" s="55"/>
      <c r="F596" s="55"/>
      <c r="G596" s="419"/>
      <c r="H596" s="55"/>
      <c r="I596" s="59"/>
      <c r="T596" s="55"/>
    </row>
    <row r="597" spans="5:20">
      <c r="E597" s="55"/>
      <c r="F597" s="55"/>
      <c r="G597" s="419"/>
      <c r="H597" s="55"/>
      <c r="I597" s="59"/>
      <c r="T597" s="55"/>
    </row>
    <row r="598" spans="5:20">
      <c r="E598" s="55"/>
      <c r="F598" s="55"/>
      <c r="G598" s="419"/>
      <c r="H598" s="55"/>
      <c r="I598" s="59"/>
      <c r="T598" s="55"/>
    </row>
    <row r="599" spans="5:20">
      <c r="E599" s="55"/>
      <c r="F599" s="55"/>
      <c r="G599" s="419"/>
      <c r="H599" s="55"/>
      <c r="I599" s="59"/>
      <c r="T599" s="55"/>
    </row>
    <row r="600" spans="5:20">
      <c r="E600" s="55"/>
      <c r="F600" s="55"/>
      <c r="G600" s="419"/>
      <c r="H600" s="55"/>
      <c r="I600" s="59"/>
      <c r="T600" s="55"/>
    </row>
    <row r="601" spans="5:20">
      <c r="E601" s="55"/>
      <c r="F601" s="55"/>
      <c r="G601" s="419"/>
      <c r="H601" s="55"/>
      <c r="I601" s="59"/>
      <c r="T601" s="55"/>
    </row>
    <row r="602" spans="5:20">
      <c r="E602" s="55"/>
      <c r="F602" s="55"/>
      <c r="G602" s="419"/>
      <c r="H602" s="55"/>
      <c r="I602" s="59"/>
      <c r="T602" s="55"/>
    </row>
    <row r="603" spans="5:20">
      <c r="E603" s="55"/>
      <c r="F603" s="55"/>
      <c r="G603" s="419"/>
      <c r="H603" s="55"/>
      <c r="I603" s="59"/>
      <c r="T603" s="55"/>
    </row>
    <row r="604" spans="5:20">
      <c r="E604" s="55"/>
      <c r="F604" s="55"/>
      <c r="G604" s="419"/>
      <c r="H604" s="55"/>
      <c r="I604" s="59"/>
      <c r="T604" s="55"/>
    </row>
    <row r="605" spans="5:20">
      <c r="E605" s="55"/>
      <c r="F605" s="55"/>
      <c r="G605" s="419"/>
      <c r="H605" s="55"/>
      <c r="I605" s="59"/>
      <c r="T605" s="55"/>
    </row>
    <row r="606" spans="5:20">
      <c r="E606" s="55"/>
      <c r="F606" s="55"/>
      <c r="G606" s="419"/>
      <c r="H606" s="55"/>
      <c r="I606" s="59"/>
      <c r="T606" s="55"/>
    </row>
    <row r="607" spans="5:20">
      <c r="E607" s="55"/>
      <c r="F607" s="55"/>
      <c r="G607" s="419"/>
      <c r="H607" s="55"/>
      <c r="I607" s="59"/>
      <c r="T607" s="55"/>
    </row>
    <row r="608" spans="5:20">
      <c r="E608" s="55"/>
      <c r="F608" s="55"/>
      <c r="G608" s="419"/>
      <c r="H608" s="55"/>
      <c r="I608" s="59"/>
      <c r="T608" s="55"/>
    </row>
    <row r="609" spans="5:20">
      <c r="E609" s="55"/>
      <c r="F609" s="55"/>
      <c r="G609" s="419"/>
      <c r="H609" s="55"/>
      <c r="I609" s="59"/>
      <c r="T609" s="55"/>
    </row>
    <row r="610" spans="5:20">
      <c r="E610" s="55"/>
      <c r="F610" s="55"/>
      <c r="G610" s="419"/>
      <c r="H610" s="55"/>
      <c r="I610" s="59"/>
      <c r="T610" s="55"/>
    </row>
    <row r="611" spans="5:20">
      <c r="E611" s="55"/>
      <c r="F611" s="55"/>
      <c r="G611" s="419"/>
      <c r="H611" s="55"/>
      <c r="I611" s="59"/>
      <c r="T611" s="55"/>
    </row>
    <row r="612" spans="5:20">
      <c r="E612" s="55"/>
      <c r="F612" s="55"/>
      <c r="G612" s="419"/>
      <c r="H612" s="55"/>
      <c r="I612" s="59"/>
      <c r="T612" s="55"/>
    </row>
    <row r="613" spans="5:20">
      <c r="E613" s="55"/>
      <c r="F613" s="55"/>
      <c r="G613" s="419"/>
      <c r="H613" s="55"/>
      <c r="I613" s="59"/>
      <c r="T613" s="55"/>
    </row>
    <row r="614" spans="5:20">
      <c r="E614" s="55"/>
      <c r="F614" s="55"/>
      <c r="G614" s="419"/>
      <c r="H614" s="55"/>
      <c r="I614" s="59"/>
      <c r="T614" s="55"/>
    </row>
    <row r="615" spans="5:20">
      <c r="E615" s="55"/>
      <c r="F615" s="55"/>
      <c r="G615" s="419"/>
      <c r="H615" s="55"/>
      <c r="I615" s="59"/>
      <c r="T615" s="55"/>
    </row>
    <row r="616" spans="5:20">
      <c r="E616" s="55"/>
      <c r="F616" s="55"/>
      <c r="G616" s="419"/>
      <c r="H616" s="55"/>
      <c r="I616" s="59"/>
      <c r="T616" s="55"/>
    </row>
    <row r="617" spans="5:20">
      <c r="E617" s="55"/>
      <c r="F617" s="55"/>
      <c r="G617" s="419"/>
      <c r="H617" s="55"/>
      <c r="I617" s="59"/>
      <c r="T617" s="55"/>
    </row>
    <row r="618" spans="5:20">
      <c r="E618" s="55"/>
      <c r="F618" s="55"/>
      <c r="G618" s="419"/>
      <c r="H618" s="55"/>
      <c r="I618" s="59"/>
      <c r="T618" s="55"/>
    </row>
    <row r="619" spans="5:20">
      <c r="E619" s="55"/>
      <c r="F619" s="55"/>
      <c r="G619" s="419"/>
      <c r="H619" s="55"/>
      <c r="I619" s="59"/>
      <c r="T619" s="55"/>
    </row>
    <row r="620" spans="5:20">
      <c r="E620" s="55"/>
      <c r="F620" s="55"/>
      <c r="G620" s="419"/>
      <c r="H620" s="55"/>
      <c r="I620" s="59"/>
      <c r="T620" s="55"/>
    </row>
    <row r="621" spans="5:20">
      <c r="E621" s="55"/>
      <c r="F621" s="55"/>
      <c r="G621" s="419"/>
      <c r="H621" s="55"/>
      <c r="I621" s="59"/>
      <c r="T621" s="55"/>
    </row>
    <row r="622" spans="5:20">
      <c r="E622" s="55"/>
      <c r="F622" s="55"/>
      <c r="G622" s="419"/>
      <c r="H622" s="55"/>
      <c r="I622" s="59"/>
      <c r="T622" s="55"/>
    </row>
    <row r="623" spans="5:20">
      <c r="E623" s="55"/>
      <c r="F623" s="55"/>
      <c r="G623" s="419"/>
      <c r="H623" s="55"/>
      <c r="I623" s="59"/>
      <c r="T623" s="55"/>
    </row>
    <row r="624" spans="5:20">
      <c r="E624" s="55"/>
      <c r="F624" s="55"/>
      <c r="G624" s="419"/>
      <c r="H624" s="55"/>
      <c r="I624" s="59"/>
      <c r="T624" s="55"/>
    </row>
    <row r="625" spans="5:20">
      <c r="E625" s="55"/>
      <c r="F625" s="55"/>
      <c r="G625" s="419"/>
      <c r="H625" s="55"/>
      <c r="I625" s="59"/>
      <c r="T625" s="55"/>
    </row>
    <row r="626" spans="5:20">
      <c r="E626" s="55"/>
      <c r="F626" s="55"/>
      <c r="G626" s="419"/>
      <c r="H626" s="55"/>
      <c r="I626" s="59"/>
      <c r="T626" s="55"/>
    </row>
    <row r="627" spans="5:20">
      <c r="E627" s="55"/>
      <c r="F627" s="55"/>
      <c r="G627" s="419"/>
      <c r="H627" s="55"/>
      <c r="I627" s="59"/>
      <c r="T627" s="55"/>
    </row>
    <row r="628" spans="5:20">
      <c r="E628" s="55"/>
      <c r="F628" s="55"/>
      <c r="G628" s="419"/>
      <c r="H628" s="55"/>
      <c r="I628" s="59"/>
      <c r="T628" s="55"/>
    </row>
    <row r="629" spans="5:20">
      <c r="E629" s="55"/>
      <c r="F629" s="55"/>
      <c r="G629" s="419"/>
      <c r="H629" s="55"/>
      <c r="I629" s="59"/>
      <c r="T629" s="55"/>
    </row>
    <row r="630" spans="5:20">
      <c r="E630" s="55"/>
      <c r="F630" s="55"/>
      <c r="G630" s="419"/>
      <c r="H630" s="55"/>
      <c r="I630" s="59"/>
      <c r="T630" s="55"/>
    </row>
    <row r="631" spans="5:20">
      <c r="E631" s="55"/>
      <c r="F631" s="55"/>
      <c r="G631" s="419"/>
      <c r="H631" s="55"/>
      <c r="I631" s="59"/>
      <c r="T631" s="55"/>
    </row>
    <row r="632" spans="5:20">
      <c r="E632" s="55"/>
      <c r="F632" s="55"/>
      <c r="G632" s="419"/>
      <c r="H632" s="55"/>
      <c r="I632" s="59"/>
      <c r="T632" s="55"/>
    </row>
    <row r="633" spans="5:20">
      <c r="E633" s="55"/>
      <c r="F633" s="55"/>
      <c r="G633" s="419"/>
      <c r="H633" s="55"/>
      <c r="I633" s="59"/>
      <c r="T633" s="55"/>
    </row>
    <row r="634" spans="5:20">
      <c r="E634" s="55"/>
      <c r="F634" s="55"/>
      <c r="G634" s="419"/>
      <c r="H634" s="55"/>
      <c r="I634" s="59"/>
      <c r="T634" s="55"/>
    </row>
    <row r="635" spans="5:20">
      <c r="E635" s="55"/>
      <c r="F635" s="55"/>
      <c r="G635" s="419"/>
      <c r="H635" s="55"/>
      <c r="I635" s="59"/>
      <c r="T635" s="55"/>
    </row>
    <row r="636" spans="5:20">
      <c r="E636" s="55"/>
      <c r="F636" s="55"/>
      <c r="G636" s="419"/>
      <c r="H636" s="55"/>
      <c r="I636" s="59"/>
      <c r="T636" s="55"/>
    </row>
    <row r="637" spans="5:20">
      <c r="E637" s="55"/>
      <c r="F637" s="55"/>
      <c r="G637" s="419"/>
      <c r="H637" s="55"/>
      <c r="I637" s="59"/>
      <c r="T637" s="55"/>
    </row>
    <row r="638" spans="5:20">
      <c r="E638" s="55"/>
      <c r="F638" s="55"/>
      <c r="G638" s="419"/>
      <c r="H638" s="55"/>
      <c r="I638" s="59"/>
      <c r="T638" s="55"/>
    </row>
    <row r="639" spans="5:20">
      <c r="E639" s="55"/>
      <c r="F639" s="55"/>
      <c r="G639" s="419"/>
      <c r="H639" s="55"/>
      <c r="I639" s="59"/>
      <c r="T639" s="55"/>
    </row>
    <row r="640" spans="5:20">
      <c r="E640" s="55"/>
      <c r="F640" s="55"/>
      <c r="G640" s="419"/>
      <c r="H640" s="55"/>
      <c r="I640" s="59"/>
      <c r="T640" s="55"/>
    </row>
    <row r="641" spans="5:20">
      <c r="E641" s="55"/>
      <c r="F641" s="55"/>
      <c r="G641" s="419"/>
      <c r="H641" s="55"/>
      <c r="I641" s="59"/>
      <c r="T641" s="55"/>
    </row>
    <row r="642" spans="5:20">
      <c r="E642" s="55"/>
      <c r="F642" s="55"/>
      <c r="G642" s="419"/>
      <c r="H642" s="55"/>
      <c r="I642" s="59"/>
      <c r="T642" s="55"/>
    </row>
    <row r="643" spans="5:20">
      <c r="E643" s="55"/>
      <c r="F643" s="55"/>
      <c r="G643" s="419"/>
      <c r="H643" s="55"/>
      <c r="I643" s="59"/>
      <c r="T643" s="55"/>
    </row>
    <row r="644" spans="5:20">
      <c r="E644" s="55"/>
      <c r="F644" s="55"/>
      <c r="G644" s="419"/>
      <c r="H644" s="55"/>
      <c r="I644" s="59"/>
      <c r="T644" s="55"/>
    </row>
    <row r="645" spans="5:20">
      <c r="E645" s="55"/>
      <c r="F645" s="55"/>
      <c r="G645" s="419"/>
      <c r="H645" s="55"/>
      <c r="I645" s="59"/>
      <c r="T645" s="55"/>
    </row>
    <row r="646" spans="5:20">
      <c r="E646" s="55"/>
      <c r="F646" s="55"/>
      <c r="G646" s="419"/>
      <c r="H646" s="55"/>
      <c r="I646" s="59"/>
      <c r="T646" s="55"/>
    </row>
    <row r="647" spans="5:20">
      <c r="E647" s="55"/>
      <c r="F647" s="55"/>
      <c r="G647" s="419"/>
      <c r="H647" s="55"/>
      <c r="I647" s="59"/>
      <c r="T647" s="55"/>
    </row>
    <row r="648" spans="5:20">
      <c r="E648" s="55"/>
      <c r="F648" s="55"/>
      <c r="G648" s="419"/>
      <c r="H648" s="55"/>
      <c r="I648" s="59"/>
      <c r="T648" s="55"/>
    </row>
    <row r="649" spans="5:20">
      <c r="E649" s="55"/>
      <c r="F649" s="55"/>
      <c r="G649" s="419"/>
      <c r="H649" s="55"/>
      <c r="I649" s="59"/>
      <c r="T649" s="55"/>
    </row>
    <row r="650" spans="5:20">
      <c r="E650" s="55"/>
      <c r="F650" s="55"/>
      <c r="G650" s="419"/>
      <c r="H650" s="55"/>
      <c r="I650" s="59"/>
      <c r="T650" s="55"/>
    </row>
    <row r="651" spans="5:20">
      <c r="E651" s="55"/>
      <c r="F651" s="55"/>
      <c r="G651" s="419"/>
      <c r="H651" s="55"/>
      <c r="I651" s="59"/>
      <c r="T651" s="55"/>
    </row>
    <row r="652" spans="5:20">
      <c r="E652" s="55"/>
      <c r="F652" s="55"/>
      <c r="G652" s="419"/>
      <c r="H652" s="55"/>
      <c r="I652" s="59"/>
      <c r="T652" s="55"/>
    </row>
    <row r="653" spans="5:20">
      <c r="E653" s="55"/>
      <c r="F653" s="55"/>
      <c r="G653" s="419"/>
      <c r="H653" s="55"/>
      <c r="I653" s="59"/>
      <c r="T653" s="55"/>
    </row>
    <row r="654" spans="5:20">
      <c r="E654" s="55"/>
      <c r="F654" s="55"/>
      <c r="G654" s="419"/>
      <c r="H654" s="55"/>
      <c r="I654" s="59"/>
      <c r="T654" s="55"/>
    </row>
    <row r="655" spans="5:20">
      <c r="E655" s="55"/>
      <c r="F655" s="55"/>
      <c r="G655" s="419"/>
      <c r="H655" s="55"/>
      <c r="I655" s="59"/>
      <c r="T655" s="55"/>
    </row>
    <row r="656" spans="5:20">
      <c r="E656" s="55"/>
      <c r="F656" s="55"/>
      <c r="G656" s="419"/>
      <c r="H656" s="55"/>
      <c r="I656" s="59"/>
      <c r="T656" s="55"/>
    </row>
    <row r="657" spans="5:20">
      <c r="E657" s="55"/>
      <c r="F657" s="55"/>
      <c r="G657" s="419"/>
      <c r="H657" s="55"/>
      <c r="I657" s="59"/>
      <c r="T657" s="55"/>
    </row>
    <row r="658" spans="5:20">
      <c r="E658" s="55"/>
      <c r="F658" s="55"/>
      <c r="G658" s="419"/>
      <c r="H658" s="55"/>
      <c r="I658" s="59"/>
      <c r="T658" s="55"/>
    </row>
    <row r="659" spans="5:20">
      <c r="E659" s="55"/>
      <c r="F659" s="55"/>
      <c r="G659" s="419"/>
      <c r="H659" s="55"/>
      <c r="I659" s="59"/>
      <c r="T659" s="55"/>
    </row>
    <row r="660" spans="5:20">
      <c r="E660" s="55"/>
      <c r="F660" s="55"/>
      <c r="G660" s="419"/>
      <c r="H660" s="55"/>
      <c r="I660" s="59"/>
      <c r="T660" s="55"/>
    </row>
    <row r="661" spans="5:20">
      <c r="E661" s="55"/>
      <c r="F661" s="55"/>
      <c r="G661" s="419"/>
      <c r="H661" s="55"/>
      <c r="I661" s="59"/>
      <c r="T661" s="55"/>
    </row>
    <row r="662" spans="5:20">
      <c r="E662" s="55"/>
      <c r="F662" s="55"/>
      <c r="G662" s="419"/>
      <c r="H662" s="55"/>
      <c r="I662" s="59"/>
      <c r="T662" s="55"/>
    </row>
    <row r="663" spans="5:20">
      <c r="E663" s="55"/>
      <c r="F663" s="55"/>
      <c r="G663" s="419"/>
      <c r="H663" s="55"/>
      <c r="I663" s="59"/>
      <c r="T663" s="55"/>
    </row>
    <row r="664" spans="5:20">
      <c r="E664" s="55"/>
      <c r="F664" s="55"/>
      <c r="G664" s="419"/>
      <c r="H664" s="55"/>
      <c r="I664" s="59"/>
      <c r="T664" s="55"/>
    </row>
    <row r="665" spans="5:20">
      <c r="E665" s="55"/>
      <c r="F665" s="55"/>
      <c r="G665" s="419"/>
      <c r="H665" s="55"/>
      <c r="I665" s="59"/>
      <c r="T665" s="55"/>
    </row>
    <row r="666" spans="5:20">
      <c r="E666" s="55"/>
      <c r="F666" s="55"/>
      <c r="G666" s="419"/>
      <c r="H666" s="55"/>
      <c r="I666" s="59"/>
      <c r="T666" s="55"/>
    </row>
    <row r="667" spans="5:20">
      <c r="E667" s="55"/>
      <c r="F667" s="55"/>
      <c r="G667" s="419"/>
      <c r="H667" s="55"/>
      <c r="I667" s="59"/>
      <c r="T667" s="55"/>
    </row>
    <row r="668" spans="5:20">
      <c r="E668" s="55"/>
      <c r="F668" s="55"/>
      <c r="G668" s="419"/>
      <c r="H668" s="55"/>
      <c r="I668" s="59"/>
      <c r="T668" s="55"/>
    </row>
    <row r="669" spans="5:20">
      <c r="E669" s="55"/>
      <c r="F669" s="55"/>
      <c r="G669" s="419"/>
      <c r="H669" s="55"/>
      <c r="I669" s="59"/>
      <c r="T669" s="55"/>
    </row>
    <row r="670" spans="5:20">
      <c r="E670" s="55"/>
      <c r="F670" s="55"/>
      <c r="G670" s="419"/>
      <c r="H670" s="55"/>
      <c r="I670" s="59"/>
      <c r="T670" s="55"/>
    </row>
    <row r="671" spans="5:20">
      <c r="E671" s="55"/>
      <c r="F671" s="55"/>
      <c r="G671" s="419"/>
      <c r="H671" s="55"/>
      <c r="I671" s="59"/>
      <c r="T671" s="55"/>
    </row>
    <row r="672" spans="5:20">
      <c r="E672" s="55"/>
      <c r="F672" s="55"/>
      <c r="G672" s="419"/>
      <c r="H672" s="55"/>
      <c r="I672" s="59"/>
      <c r="T672" s="55"/>
    </row>
    <row r="673" spans="5:20">
      <c r="E673" s="55"/>
      <c r="F673" s="55"/>
      <c r="G673" s="419"/>
      <c r="H673" s="55"/>
      <c r="I673" s="59"/>
      <c r="T673" s="55"/>
    </row>
    <row r="674" spans="5:20">
      <c r="E674" s="55"/>
      <c r="F674" s="55"/>
      <c r="G674" s="419"/>
      <c r="H674" s="55"/>
      <c r="I674" s="59"/>
      <c r="T674" s="55"/>
    </row>
    <row r="675" spans="5:20">
      <c r="E675" s="55"/>
      <c r="F675" s="55"/>
      <c r="G675" s="419"/>
      <c r="H675" s="55"/>
      <c r="I675" s="59"/>
      <c r="T675" s="55"/>
    </row>
    <row r="676" spans="5:20">
      <c r="E676" s="55"/>
      <c r="F676" s="55"/>
      <c r="G676" s="419"/>
      <c r="H676" s="55"/>
      <c r="I676" s="59"/>
      <c r="T676" s="55"/>
    </row>
    <row r="677" spans="5:20">
      <c r="E677" s="55"/>
      <c r="F677" s="55"/>
      <c r="G677" s="419"/>
      <c r="H677" s="55"/>
      <c r="I677" s="59"/>
      <c r="T677" s="55"/>
    </row>
    <row r="678" spans="5:20">
      <c r="E678" s="55"/>
      <c r="F678" s="55"/>
      <c r="G678" s="419"/>
      <c r="H678" s="55"/>
      <c r="I678" s="59"/>
      <c r="T678" s="55"/>
    </row>
    <row r="679" spans="5:20">
      <c r="E679" s="55"/>
      <c r="F679" s="55"/>
      <c r="G679" s="419"/>
      <c r="H679" s="55"/>
      <c r="I679" s="59"/>
      <c r="T679" s="55"/>
    </row>
    <row r="680" spans="5:20">
      <c r="E680" s="55"/>
      <c r="F680" s="55"/>
      <c r="G680" s="419"/>
      <c r="H680" s="55"/>
      <c r="I680" s="59"/>
      <c r="T680" s="55"/>
    </row>
    <row r="681" spans="5:20">
      <c r="E681" s="55"/>
      <c r="F681" s="55"/>
      <c r="G681" s="419"/>
      <c r="H681" s="55"/>
      <c r="I681" s="59"/>
      <c r="T681" s="55"/>
    </row>
    <row r="682" spans="5:20">
      <c r="E682" s="55"/>
      <c r="F682" s="55"/>
      <c r="G682" s="419"/>
      <c r="H682" s="55"/>
      <c r="I682" s="59"/>
      <c r="T682" s="55"/>
    </row>
    <row r="683" spans="5:20">
      <c r="E683" s="55"/>
      <c r="F683" s="55"/>
      <c r="G683" s="419"/>
      <c r="H683" s="55"/>
      <c r="I683" s="59"/>
      <c r="T683" s="55"/>
    </row>
    <row r="684" spans="5:20">
      <c r="E684" s="55"/>
      <c r="F684" s="55"/>
      <c r="G684" s="419"/>
      <c r="H684" s="55"/>
      <c r="I684" s="59"/>
      <c r="T684" s="55"/>
    </row>
    <row r="685" spans="5:20">
      <c r="E685" s="55"/>
      <c r="F685" s="55"/>
      <c r="G685" s="419"/>
      <c r="H685" s="55"/>
      <c r="I685" s="59"/>
      <c r="T685" s="55"/>
    </row>
    <row r="686" spans="5:20">
      <c r="E686" s="55"/>
      <c r="F686" s="55"/>
      <c r="G686" s="419"/>
      <c r="H686" s="55"/>
      <c r="I686" s="59"/>
      <c r="T686" s="55"/>
    </row>
    <row r="687" spans="5:20">
      <c r="E687" s="55"/>
      <c r="F687" s="55"/>
      <c r="G687" s="419"/>
      <c r="H687" s="55"/>
      <c r="I687" s="59"/>
      <c r="T687" s="55"/>
    </row>
    <row r="688" spans="5:20">
      <c r="E688" s="55"/>
      <c r="F688" s="55"/>
      <c r="G688" s="419"/>
      <c r="H688" s="55"/>
      <c r="I688" s="59"/>
      <c r="T688" s="55"/>
    </row>
    <row r="689" spans="5:20">
      <c r="E689" s="55"/>
      <c r="F689" s="55"/>
      <c r="G689" s="419"/>
      <c r="H689" s="55"/>
      <c r="I689" s="59"/>
      <c r="T689" s="55"/>
    </row>
    <row r="690" spans="5:20">
      <c r="E690" s="55"/>
      <c r="F690" s="55"/>
      <c r="G690" s="419"/>
      <c r="H690" s="55"/>
      <c r="I690" s="59"/>
      <c r="T690" s="55"/>
    </row>
    <row r="691" spans="5:20">
      <c r="E691" s="55"/>
      <c r="F691" s="55"/>
      <c r="G691" s="419"/>
      <c r="H691" s="55"/>
      <c r="I691" s="59"/>
      <c r="T691" s="55"/>
    </row>
    <row r="692" spans="5:20">
      <c r="E692" s="55"/>
      <c r="F692" s="55"/>
      <c r="G692" s="419"/>
      <c r="H692" s="55"/>
      <c r="I692" s="59"/>
      <c r="T692" s="55"/>
    </row>
    <row r="693" spans="5:20">
      <c r="E693" s="55"/>
      <c r="F693" s="55"/>
      <c r="G693" s="419"/>
      <c r="H693" s="55"/>
      <c r="I693" s="59"/>
      <c r="T693" s="55"/>
    </row>
    <row r="694" spans="5:20">
      <c r="E694" s="55"/>
      <c r="F694" s="55"/>
      <c r="G694" s="419"/>
      <c r="H694" s="55"/>
      <c r="I694" s="59"/>
      <c r="T694" s="55"/>
    </row>
    <row r="695" spans="5:20">
      <c r="E695" s="55"/>
      <c r="F695" s="55"/>
      <c r="G695" s="419"/>
      <c r="H695" s="55"/>
      <c r="I695" s="59"/>
      <c r="T695" s="55"/>
    </row>
    <row r="696" spans="5:20">
      <c r="E696" s="55"/>
      <c r="F696" s="55"/>
      <c r="G696" s="419"/>
      <c r="H696" s="55"/>
      <c r="I696" s="59"/>
      <c r="T696" s="55"/>
    </row>
    <row r="697" spans="5:20">
      <c r="E697" s="55"/>
      <c r="F697" s="55"/>
      <c r="G697" s="419"/>
      <c r="H697" s="55"/>
      <c r="I697" s="59"/>
      <c r="T697" s="55"/>
    </row>
    <row r="698" spans="5:20">
      <c r="E698" s="55"/>
      <c r="F698" s="55"/>
      <c r="G698" s="419"/>
      <c r="H698" s="55"/>
      <c r="I698" s="59"/>
      <c r="T698" s="55"/>
    </row>
    <row r="699" spans="5:20">
      <c r="E699" s="55"/>
      <c r="F699" s="55"/>
      <c r="G699" s="419"/>
      <c r="H699" s="55"/>
      <c r="I699" s="59"/>
      <c r="T699" s="55"/>
    </row>
    <row r="700" spans="5:20">
      <c r="E700" s="55"/>
      <c r="F700" s="55"/>
      <c r="G700" s="419"/>
      <c r="H700" s="55"/>
      <c r="I700" s="59"/>
      <c r="T700" s="55"/>
    </row>
    <row r="701" spans="5:20">
      <c r="E701" s="55"/>
      <c r="F701" s="55"/>
      <c r="G701" s="419"/>
      <c r="H701" s="55"/>
      <c r="I701" s="59"/>
      <c r="T701" s="55"/>
    </row>
    <row r="702" spans="5:20">
      <c r="E702" s="55"/>
      <c r="F702" s="55"/>
      <c r="G702" s="419"/>
      <c r="H702" s="55"/>
      <c r="I702" s="59"/>
      <c r="T702" s="55"/>
    </row>
    <row r="703" spans="5:20">
      <c r="E703" s="55"/>
      <c r="F703" s="55"/>
      <c r="G703" s="419"/>
      <c r="H703" s="55"/>
      <c r="I703" s="59"/>
      <c r="T703" s="55"/>
    </row>
    <row r="704" spans="5:20">
      <c r="E704" s="55"/>
      <c r="F704" s="55"/>
      <c r="G704" s="419"/>
      <c r="H704" s="55"/>
      <c r="I704" s="59"/>
      <c r="T704" s="55"/>
    </row>
    <row r="705" spans="5:20">
      <c r="E705" s="55"/>
      <c r="F705" s="55"/>
      <c r="G705" s="419"/>
      <c r="H705" s="55"/>
      <c r="I705" s="59"/>
      <c r="T705" s="55"/>
    </row>
    <row r="706" spans="5:20">
      <c r="E706" s="55"/>
      <c r="F706" s="55"/>
      <c r="G706" s="419"/>
      <c r="H706" s="55"/>
      <c r="I706" s="59"/>
      <c r="T706" s="55"/>
    </row>
    <row r="707" spans="5:20">
      <c r="E707" s="55"/>
      <c r="F707" s="55"/>
      <c r="G707" s="419"/>
      <c r="H707" s="55"/>
      <c r="I707" s="59"/>
      <c r="T707" s="55"/>
    </row>
    <row r="708" spans="5:20">
      <c r="E708" s="55"/>
      <c r="F708" s="55"/>
      <c r="G708" s="419"/>
      <c r="H708" s="55"/>
      <c r="I708" s="59"/>
      <c r="T708" s="55"/>
    </row>
    <row r="709" spans="5:20">
      <c r="E709" s="55"/>
      <c r="F709" s="55"/>
      <c r="G709" s="419"/>
      <c r="H709" s="55"/>
      <c r="I709" s="59"/>
      <c r="T709" s="55"/>
    </row>
    <row r="710" spans="5:20">
      <c r="E710" s="55"/>
      <c r="F710" s="55"/>
      <c r="G710" s="419"/>
      <c r="H710" s="55"/>
      <c r="I710" s="59"/>
      <c r="T710" s="55"/>
    </row>
    <row r="711" spans="5:20">
      <c r="E711" s="55"/>
      <c r="F711" s="55"/>
      <c r="G711" s="419"/>
      <c r="H711" s="55"/>
      <c r="I711" s="59"/>
      <c r="T711" s="55"/>
    </row>
    <row r="712" spans="5:20">
      <c r="E712" s="55"/>
      <c r="F712" s="55"/>
      <c r="G712" s="419"/>
      <c r="H712" s="55"/>
      <c r="I712" s="59"/>
      <c r="T712" s="55"/>
    </row>
    <row r="713" spans="5:20">
      <c r="E713" s="55"/>
      <c r="F713" s="55"/>
      <c r="G713" s="419"/>
      <c r="H713" s="55"/>
      <c r="I713" s="59"/>
      <c r="T713" s="55"/>
    </row>
    <row r="714" spans="5:20">
      <c r="E714" s="55"/>
      <c r="F714" s="55"/>
      <c r="G714" s="419"/>
      <c r="H714" s="55"/>
      <c r="I714" s="59"/>
      <c r="T714" s="55"/>
    </row>
    <row r="715" spans="5:20">
      <c r="E715" s="55"/>
      <c r="F715" s="55"/>
      <c r="G715" s="419"/>
      <c r="H715" s="55"/>
      <c r="I715" s="59"/>
      <c r="T715" s="55"/>
    </row>
    <row r="716" spans="5:20">
      <c r="E716" s="55"/>
      <c r="F716" s="55"/>
      <c r="G716" s="419"/>
      <c r="H716" s="55"/>
      <c r="I716" s="59"/>
      <c r="T716" s="55"/>
    </row>
    <row r="717" spans="5:20">
      <c r="E717" s="55"/>
      <c r="F717" s="55"/>
      <c r="G717" s="419"/>
      <c r="H717" s="55"/>
      <c r="I717" s="59"/>
      <c r="T717" s="55"/>
    </row>
    <row r="718" spans="5:20">
      <c r="E718" s="55"/>
      <c r="F718" s="55"/>
      <c r="G718" s="419"/>
      <c r="H718" s="55"/>
      <c r="I718" s="59"/>
      <c r="T718" s="55"/>
    </row>
    <row r="719" spans="5:20">
      <c r="E719" s="55"/>
      <c r="F719" s="55"/>
      <c r="G719" s="419"/>
      <c r="H719" s="55"/>
      <c r="I719" s="59"/>
      <c r="T719" s="55"/>
    </row>
    <row r="720" spans="5:20">
      <c r="E720" s="55"/>
      <c r="F720" s="55"/>
      <c r="G720" s="419"/>
      <c r="H720" s="55"/>
      <c r="I720" s="59"/>
      <c r="T720" s="55"/>
    </row>
    <row r="721" spans="5:20">
      <c r="E721" s="55"/>
      <c r="F721" s="55"/>
      <c r="G721" s="419"/>
      <c r="H721" s="55"/>
      <c r="I721" s="59"/>
      <c r="T721" s="55"/>
    </row>
    <row r="722" spans="5:20">
      <c r="E722" s="55"/>
      <c r="F722" s="55"/>
      <c r="G722" s="419"/>
      <c r="H722" s="55"/>
      <c r="I722" s="59"/>
      <c r="T722" s="55"/>
    </row>
    <row r="723" spans="5:20">
      <c r="E723" s="55"/>
      <c r="F723" s="55"/>
      <c r="G723" s="419"/>
      <c r="H723" s="55"/>
      <c r="I723" s="59"/>
      <c r="T723" s="55"/>
    </row>
    <row r="724" spans="5:20">
      <c r="E724" s="55"/>
      <c r="F724" s="55"/>
      <c r="G724" s="419"/>
      <c r="H724" s="55"/>
      <c r="I724" s="59"/>
      <c r="T724" s="55"/>
    </row>
    <row r="725" spans="5:20">
      <c r="E725" s="55"/>
      <c r="F725" s="55"/>
      <c r="G725" s="419"/>
      <c r="H725" s="55"/>
      <c r="I725" s="59"/>
      <c r="T725" s="55"/>
    </row>
    <row r="726" spans="5:20">
      <c r="E726" s="55"/>
      <c r="F726" s="55"/>
      <c r="G726" s="419"/>
      <c r="H726" s="55"/>
      <c r="I726" s="59"/>
      <c r="T726" s="55"/>
    </row>
    <row r="727" spans="5:20">
      <c r="E727" s="55"/>
      <c r="F727" s="55"/>
      <c r="G727" s="419"/>
      <c r="H727" s="55"/>
      <c r="I727" s="59"/>
      <c r="T727" s="55"/>
    </row>
    <row r="728" spans="5:20">
      <c r="E728" s="55"/>
      <c r="F728" s="55"/>
      <c r="G728" s="419"/>
      <c r="H728" s="55"/>
      <c r="I728" s="59"/>
      <c r="T728" s="55"/>
    </row>
    <row r="729" spans="5:20">
      <c r="E729" s="55"/>
      <c r="F729" s="55"/>
      <c r="G729" s="419"/>
      <c r="H729" s="55"/>
      <c r="I729" s="59"/>
      <c r="T729" s="55"/>
    </row>
    <row r="730" spans="5:20">
      <c r="E730" s="55"/>
      <c r="F730" s="55"/>
      <c r="G730" s="419"/>
      <c r="H730" s="55"/>
      <c r="I730" s="59"/>
      <c r="T730" s="55"/>
    </row>
    <row r="731" spans="5:20">
      <c r="E731" s="55"/>
      <c r="F731" s="55"/>
      <c r="G731" s="419"/>
      <c r="H731" s="55"/>
      <c r="I731" s="59"/>
      <c r="T731" s="55"/>
    </row>
    <row r="732" spans="5:20">
      <c r="E732" s="55"/>
      <c r="F732" s="55"/>
      <c r="G732" s="419"/>
      <c r="H732" s="55"/>
      <c r="I732" s="59"/>
      <c r="T732" s="55"/>
    </row>
    <row r="733" spans="5:20">
      <c r="E733" s="55"/>
      <c r="F733" s="55"/>
      <c r="G733" s="419"/>
      <c r="H733" s="55"/>
      <c r="I733" s="59"/>
      <c r="T733" s="55"/>
    </row>
    <row r="734" spans="5:20">
      <c r="E734" s="55"/>
      <c r="F734" s="55"/>
      <c r="G734" s="419"/>
      <c r="H734" s="55"/>
      <c r="I734" s="59"/>
      <c r="T734" s="55"/>
    </row>
    <row r="735" spans="5:20">
      <c r="E735" s="55"/>
      <c r="F735" s="55"/>
      <c r="G735" s="419"/>
      <c r="H735" s="55"/>
      <c r="I735" s="59"/>
      <c r="T735" s="55"/>
    </row>
    <row r="736" spans="5:20">
      <c r="E736" s="55"/>
      <c r="F736" s="55"/>
      <c r="G736" s="419"/>
      <c r="H736" s="55"/>
      <c r="I736" s="59"/>
      <c r="T736" s="55"/>
    </row>
    <row r="737" spans="5:20">
      <c r="E737" s="55"/>
      <c r="F737" s="55"/>
      <c r="G737" s="419"/>
      <c r="H737" s="55"/>
      <c r="I737" s="59"/>
      <c r="T737" s="55"/>
    </row>
    <row r="738" spans="5:20">
      <c r="E738" s="55"/>
      <c r="F738" s="55"/>
      <c r="G738" s="419"/>
      <c r="H738" s="55"/>
      <c r="I738" s="59"/>
      <c r="T738" s="55"/>
    </row>
    <row r="739" spans="5:20">
      <c r="E739" s="55"/>
      <c r="F739" s="55"/>
      <c r="G739" s="419"/>
      <c r="H739" s="55"/>
      <c r="I739" s="59"/>
      <c r="T739" s="55"/>
    </row>
    <row r="740" spans="5:20">
      <c r="E740" s="55"/>
      <c r="F740" s="55"/>
      <c r="G740" s="419"/>
      <c r="H740" s="55"/>
      <c r="I740" s="59"/>
      <c r="T740" s="55"/>
    </row>
    <row r="741" spans="5:20">
      <c r="E741" s="55"/>
      <c r="F741" s="55"/>
      <c r="G741" s="419"/>
      <c r="H741" s="55"/>
      <c r="I741" s="59"/>
      <c r="T741" s="55"/>
    </row>
    <row r="742" spans="5:20">
      <c r="E742" s="55"/>
      <c r="F742" s="55"/>
      <c r="G742" s="419"/>
      <c r="H742" s="55"/>
      <c r="I742" s="59"/>
      <c r="T742" s="55"/>
    </row>
    <row r="743" spans="5:20">
      <c r="E743" s="55"/>
      <c r="F743" s="55"/>
      <c r="G743" s="419"/>
      <c r="H743" s="55"/>
      <c r="I743" s="59"/>
      <c r="T743" s="55"/>
    </row>
    <row r="744" spans="5:20">
      <c r="E744" s="55"/>
      <c r="F744" s="55"/>
      <c r="G744" s="419"/>
      <c r="H744" s="55"/>
      <c r="I744" s="59"/>
      <c r="T744" s="55"/>
    </row>
    <row r="745" spans="5:20">
      <c r="E745" s="55"/>
      <c r="F745" s="55"/>
      <c r="G745" s="419"/>
      <c r="H745" s="55"/>
      <c r="I745" s="59"/>
      <c r="T745" s="55"/>
    </row>
    <row r="746" spans="5:20">
      <c r="E746" s="55"/>
      <c r="F746" s="55"/>
      <c r="G746" s="419"/>
      <c r="H746" s="55"/>
      <c r="I746" s="59"/>
      <c r="T746" s="55"/>
    </row>
    <row r="747" spans="5:20">
      <c r="E747" s="55"/>
      <c r="F747" s="55"/>
      <c r="G747" s="419"/>
      <c r="H747" s="55"/>
      <c r="I747" s="59"/>
      <c r="T747" s="55"/>
    </row>
    <row r="748" spans="5:20">
      <c r="E748" s="55"/>
      <c r="F748" s="55"/>
      <c r="G748" s="419"/>
      <c r="H748" s="55"/>
      <c r="I748" s="59"/>
      <c r="T748" s="55"/>
    </row>
    <row r="749" spans="5:20">
      <c r="E749" s="55"/>
      <c r="F749" s="55"/>
      <c r="G749" s="419"/>
      <c r="H749" s="55"/>
      <c r="I749" s="59"/>
      <c r="T749" s="55"/>
    </row>
    <row r="750" spans="5:20">
      <c r="E750" s="55"/>
      <c r="F750" s="55"/>
      <c r="G750" s="419"/>
      <c r="H750" s="55"/>
      <c r="I750" s="59"/>
      <c r="T750" s="55"/>
    </row>
    <row r="751" spans="5:20">
      <c r="E751" s="55"/>
      <c r="F751" s="55"/>
      <c r="G751" s="419"/>
      <c r="H751" s="55"/>
      <c r="I751" s="59"/>
      <c r="T751" s="55"/>
    </row>
    <row r="752" spans="5:20">
      <c r="E752" s="55"/>
      <c r="F752" s="55"/>
      <c r="G752" s="419"/>
      <c r="H752" s="55"/>
      <c r="I752" s="59"/>
      <c r="T752" s="55"/>
    </row>
    <row r="753" spans="5:20">
      <c r="E753" s="55"/>
      <c r="F753" s="55"/>
      <c r="G753" s="419"/>
      <c r="H753" s="55"/>
      <c r="I753" s="59"/>
      <c r="T753" s="55"/>
    </row>
    <row r="754" spans="5:20">
      <c r="E754" s="55"/>
      <c r="F754" s="55"/>
      <c r="G754" s="419"/>
      <c r="H754" s="55"/>
      <c r="I754" s="59"/>
      <c r="T754" s="55"/>
    </row>
    <row r="755" spans="5:20">
      <c r="E755" s="55"/>
      <c r="F755" s="55"/>
      <c r="G755" s="419"/>
      <c r="H755" s="55"/>
      <c r="I755" s="59"/>
      <c r="T755" s="55"/>
    </row>
    <row r="756" spans="5:20">
      <c r="E756" s="55"/>
      <c r="F756" s="55"/>
      <c r="G756" s="419"/>
      <c r="H756" s="55"/>
      <c r="I756" s="59"/>
      <c r="T756" s="55"/>
    </row>
    <row r="757" spans="5:20">
      <c r="E757" s="55"/>
      <c r="F757" s="55"/>
      <c r="G757" s="419"/>
      <c r="H757" s="55"/>
      <c r="I757" s="59"/>
      <c r="T757" s="55"/>
    </row>
    <row r="758" spans="5:20">
      <c r="E758" s="55"/>
      <c r="F758" s="55"/>
      <c r="G758" s="419"/>
      <c r="H758" s="55"/>
      <c r="I758" s="59"/>
      <c r="T758" s="55"/>
    </row>
    <row r="759" spans="5:20">
      <c r="E759" s="55"/>
      <c r="F759" s="55"/>
      <c r="G759" s="419"/>
      <c r="H759" s="55"/>
      <c r="I759" s="59"/>
      <c r="T759" s="55"/>
    </row>
    <row r="760" spans="5:20">
      <c r="E760" s="55"/>
      <c r="F760" s="55"/>
      <c r="G760" s="419"/>
      <c r="H760" s="55"/>
      <c r="I760" s="59"/>
      <c r="T760" s="55"/>
    </row>
    <row r="761" spans="5:20">
      <c r="E761" s="55"/>
      <c r="F761" s="55"/>
      <c r="G761" s="419"/>
      <c r="H761" s="55"/>
      <c r="I761" s="59"/>
      <c r="T761" s="55"/>
    </row>
    <row r="762" spans="5:20">
      <c r="E762" s="55"/>
      <c r="F762" s="55"/>
      <c r="G762" s="419"/>
      <c r="H762" s="55"/>
      <c r="I762" s="59"/>
      <c r="T762" s="55"/>
    </row>
    <row r="763" spans="5:20">
      <c r="E763" s="55"/>
      <c r="F763" s="55"/>
      <c r="G763" s="419"/>
      <c r="H763" s="55"/>
      <c r="I763" s="59"/>
      <c r="T763" s="55"/>
    </row>
    <row r="764" spans="5:20">
      <c r="E764" s="55"/>
      <c r="F764" s="55"/>
      <c r="G764" s="419"/>
      <c r="H764" s="55"/>
      <c r="I764" s="59"/>
      <c r="T764" s="55"/>
    </row>
    <row r="765" spans="5:20">
      <c r="E765" s="55"/>
      <c r="F765" s="55"/>
      <c r="G765" s="419"/>
      <c r="H765" s="55"/>
      <c r="I765" s="59"/>
      <c r="T765" s="55"/>
    </row>
    <row r="766" spans="5:20">
      <c r="E766" s="55"/>
      <c r="F766" s="55"/>
      <c r="G766" s="419"/>
      <c r="H766" s="55"/>
      <c r="I766" s="59"/>
      <c r="T766" s="55"/>
    </row>
    <row r="767" spans="5:20">
      <c r="E767" s="55"/>
      <c r="F767" s="55"/>
      <c r="G767" s="419"/>
      <c r="H767" s="55"/>
      <c r="I767" s="59"/>
      <c r="T767" s="55"/>
    </row>
    <row r="768" spans="5:20">
      <c r="E768" s="55"/>
      <c r="F768" s="55"/>
      <c r="G768" s="419"/>
      <c r="H768" s="55"/>
      <c r="I768" s="59"/>
      <c r="T768" s="55"/>
    </row>
    <row r="769" spans="5:20">
      <c r="E769" s="55"/>
      <c r="F769" s="55"/>
      <c r="G769" s="419"/>
      <c r="H769" s="55"/>
      <c r="I769" s="59"/>
      <c r="T769" s="55"/>
    </row>
    <row r="770" spans="5:20">
      <c r="E770" s="55"/>
      <c r="F770" s="55"/>
      <c r="G770" s="419"/>
      <c r="H770" s="55"/>
      <c r="I770" s="59"/>
      <c r="T770" s="55"/>
    </row>
    <row r="771" spans="5:20">
      <c r="E771" s="55"/>
      <c r="F771" s="55"/>
      <c r="G771" s="419"/>
      <c r="H771" s="55"/>
      <c r="I771" s="59"/>
      <c r="T771" s="55"/>
    </row>
    <row r="772" spans="5:20">
      <c r="E772" s="55"/>
      <c r="F772" s="55"/>
      <c r="G772" s="419"/>
      <c r="H772" s="55"/>
      <c r="I772" s="59"/>
      <c r="T772" s="55"/>
    </row>
    <row r="773" spans="5:20">
      <c r="E773" s="55"/>
      <c r="F773" s="55"/>
      <c r="G773" s="419"/>
      <c r="H773" s="55"/>
      <c r="I773" s="59"/>
      <c r="T773" s="55"/>
    </row>
    <row r="774" spans="5:20">
      <c r="E774" s="55"/>
      <c r="F774" s="55"/>
      <c r="G774" s="419"/>
      <c r="H774" s="55"/>
      <c r="I774" s="59"/>
      <c r="T774" s="55"/>
    </row>
    <row r="775" spans="5:20">
      <c r="E775" s="55"/>
      <c r="F775" s="55"/>
      <c r="G775" s="419"/>
      <c r="H775" s="55"/>
      <c r="I775" s="59"/>
      <c r="T775" s="55"/>
    </row>
    <row r="776" spans="5:20">
      <c r="E776" s="55"/>
      <c r="F776" s="55"/>
      <c r="G776" s="419"/>
      <c r="H776" s="55"/>
      <c r="I776" s="59"/>
      <c r="T776" s="55"/>
    </row>
    <row r="777" spans="5:20">
      <c r="E777" s="55"/>
      <c r="F777" s="55"/>
      <c r="G777" s="419"/>
      <c r="H777" s="55"/>
      <c r="I777" s="59"/>
      <c r="T777" s="55"/>
    </row>
    <row r="778" spans="5:20">
      <c r="E778" s="55"/>
      <c r="F778" s="55"/>
      <c r="G778" s="419"/>
      <c r="H778" s="55"/>
      <c r="I778" s="59"/>
      <c r="T778" s="55"/>
    </row>
    <row r="779" spans="5:20">
      <c r="E779" s="55"/>
      <c r="F779" s="55"/>
      <c r="G779" s="419"/>
      <c r="H779" s="55"/>
      <c r="I779" s="59"/>
      <c r="T779" s="55"/>
    </row>
    <row r="780" spans="5:20">
      <c r="E780" s="55"/>
      <c r="F780" s="55"/>
      <c r="G780" s="419"/>
      <c r="H780" s="55"/>
      <c r="I780" s="59"/>
      <c r="T780" s="55"/>
    </row>
    <row r="781" spans="5:20">
      <c r="E781" s="55"/>
      <c r="F781" s="55"/>
      <c r="G781" s="419"/>
      <c r="H781" s="55"/>
      <c r="I781" s="59"/>
      <c r="T781" s="55"/>
    </row>
    <row r="782" spans="5:20">
      <c r="E782" s="55"/>
      <c r="F782" s="55"/>
      <c r="G782" s="419"/>
      <c r="H782" s="55"/>
      <c r="I782" s="59"/>
      <c r="T782" s="55"/>
    </row>
    <row r="783" spans="5:20">
      <c r="E783" s="55"/>
      <c r="F783" s="55"/>
      <c r="G783" s="419"/>
      <c r="H783" s="55"/>
      <c r="I783" s="59"/>
      <c r="T783" s="55"/>
    </row>
    <row r="784" spans="5:20">
      <c r="E784" s="55"/>
      <c r="F784" s="55"/>
      <c r="G784" s="419"/>
      <c r="H784" s="55"/>
      <c r="I784" s="59"/>
      <c r="T784" s="55"/>
    </row>
    <row r="785" spans="5:20">
      <c r="E785" s="55"/>
      <c r="F785" s="55"/>
      <c r="G785" s="419"/>
      <c r="H785" s="55"/>
      <c r="I785" s="59"/>
      <c r="T785" s="55"/>
    </row>
    <row r="786" spans="5:20">
      <c r="E786" s="55"/>
      <c r="F786" s="55"/>
      <c r="G786" s="419"/>
      <c r="H786" s="55"/>
      <c r="I786" s="59"/>
      <c r="T786" s="55"/>
    </row>
    <row r="787" spans="5:20">
      <c r="E787" s="55"/>
      <c r="F787" s="55"/>
      <c r="G787" s="419"/>
      <c r="H787" s="55"/>
      <c r="I787" s="59"/>
      <c r="T787" s="55"/>
    </row>
    <row r="788" spans="5:20">
      <c r="E788" s="55"/>
      <c r="F788" s="55"/>
      <c r="G788" s="419"/>
      <c r="H788" s="55"/>
      <c r="I788" s="59"/>
      <c r="T788" s="55"/>
    </row>
    <row r="789" spans="5:20">
      <c r="E789" s="55"/>
      <c r="F789" s="55"/>
      <c r="G789" s="419"/>
      <c r="H789" s="55"/>
      <c r="I789" s="59"/>
      <c r="T789" s="55"/>
    </row>
    <row r="790" spans="5:20">
      <c r="E790" s="55"/>
      <c r="F790" s="55"/>
      <c r="G790" s="419"/>
      <c r="H790" s="55"/>
      <c r="I790" s="59"/>
      <c r="T790" s="55"/>
    </row>
    <row r="791" spans="5:20">
      <c r="E791" s="55"/>
      <c r="F791" s="55"/>
      <c r="G791" s="419"/>
      <c r="H791" s="55"/>
      <c r="I791" s="59"/>
      <c r="T791" s="55"/>
    </row>
    <row r="792" spans="5:20">
      <c r="E792" s="55"/>
      <c r="F792" s="55"/>
      <c r="G792" s="419"/>
      <c r="H792" s="55"/>
      <c r="I792" s="59"/>
      <c r="T792" s="55"/>
    </row>
    <row r="793" spans="5:20">
      <c r="E793" s="55"/>
      <c r="F793" s="55"/>
      <c r="G793" s="419"/>
      <c r="H793" s="55"/>
      <c r="I793" s="59"/>
      <c r="T793" s="55"/>
    </row>
    <row r="794" spans="5:20">
      <c r="E794" s="55"/>
      <c r="F794" s="55"/>
      <c r="G794" s="419"/>
      <c r="H794" s="55"/>
      <c r="I794" s="59"/>
      <c r="T794" s="55"/>
    </row>
    <row r="795" spans="5:20">
      <c r="E795" s="55"/>
      <c r="F795" s="55"/>
      <c r="G795" s="419"/>
      <c r="H795" s="55"/>
      <c r="I795" s="59"/>
      <c r="T795" s="55"/>
    </row>
    <row r="796" spans="5:20">
      <c r="E796" s="55"/>
      <c r="F796" s="55"/>
      <c r="G796" s="419"/>
      <c r="H796" s="55"/>
      <c r="I796" s="59"/>
      <c r="T796" s="55"/>
    </row>
    <row r="797" spans="5:20">
      <c r="E797" s="55"/>
      <c r="F797" s="55"/>
      <c r="G797" s="419"/>
      <c r="H797" s="55"/>
      <c r="I797" s="59"/>
      <c r="T797" s="55"/>
    </row>
    <row r="798" spans="5:20">
      <c r="E798" s="55"/>
      <c r="F798" s="55"/>
      <c r="G798" s="419"/>
      <c r="H798" s="55"/>
      <c r="I798" s="59"/>
      <c r="T798" s="55"/>
    </row>
    <row r="799" spans="5:20">
      <c r="E799" s="55"/>
      <c r="F799" s="55"/>
      <c r="G799" s="419"/>
      <c r="H799" s="55"/>
      <c r="I799" s="59"/>
      <c r="T799" s="55"/>
    </row>
    <row r="800" spans="5:20">
      <c r="E800" s="55"/>
      <c r="F800" s="55"/>
      <c r="G800" s="419"/>
      <c r="H800" s="55"/>
      <c r="I800" s="59"/>
      <c r="T800" s="55"/>
    </row>
    <row r="801" spans="5:20">
      <c r="E801" s="55"/>
      <c r="F801" s="55"/>
      <c r="G801" s="419"/>
      <c r="H801" s="55"/>
      <c r="I801" s="59"/>
      <c r="T801" s="55"/>
    </row>
    <row r="802" spans="5:20">
      <c r="E802" s="55"/>
      <c r="F802" s="55"/>
      <c r="G802" s="419"/>
      <c r="H802" s="55"/>
      <c r="I802" s="59"/>
      <c r="T802" s="55"/>
    </row>
    <row r="803" spans="5:20">
      <c r="E803" s="55"/>
      <c r="F803" s="55"/>
      <c r="G803" s="419"/>
      <c r="H803" s="55"/>
      <c r="I803" s="59"/>
      <c r="T803" s="55"/>
    </row>
    <row r="804" spans="5:20">
      <c r="E804" s="55"/>
      <c r="F804" s="55"/>
      <c r="G804" s="419"/>
      <c r="H804" s="55"/>
      <c r="I804" s="59"/>
      <c r="T804" s="55"/>
    </row>
    <row r="805" spans="5:20">
      <c r="E805" s="55"/>
      <c r="F805" s="55"/>
      <c r="G805" s="419"/>
      <c r="H805" s="55"/>
      <c r="I805" s="59"/>
      <c r="T805" s="55"/>
    </row>
    <row r="806" spans="5:20">
      <c r="E806" s="55"/>
      <c r="F806" s="55"/>
      <c r="G806" s="419"/>
      <c r="H806" s="55"/>
      <c r="I806" s="59"/>
      <c r="T806" s="55"/>
    </row>
    <row r="807" spans="5:20">
      <c r="E807" s="55"/>
      <c r="F807" s="55"/>
      <c r="G807" s="419"/>
      <c r="H807" s="55"/>
      <c r="I807" s="59"/>
      <c r="T807" s="55"/>
    </row>
    <row r="808" spans="5:20">
      <c r="E808" s="55"/>
      <c r="F808" s="55"/>
      <c r="G808" s="419"/>
      <c r="H808" s="55"/>
      <c r="I808" s="59"/>
      <c r="T808" s="55"/>
    </row>
    <row r="809" spans="5:20">
      <c r="E809" s="55"/>
      <c r="F809" s="55"/>
      <c r="G809" s="419"/>
      <c r="H809" s="55"/>
      <c r="I809" s="59"/>
      <c r="T809" s="55"/>
    </row>
    <row r="810" spans="5:20">
      <c r="E810" s="55"/>
      <c r="F810" s="55"/>
      <c r="G810" s="419"/>
      <c r="H810" s="55"/>
      <c r="I810" s="59"/>
      <c r="T810" s="55"/>
    </row>
    <row r="811" spans="5:20">
      <c r="E811" s="55"/>
      <c r="F811" s="55"/>
      <c r="G811" s="419"/>
      <c r="H811" s="55"/>
      <c r="I811" s="59"/>
      <c r="T811" s="55"/>
    </row>
    <row r="812" spans="5:20">
      <c r="E812" s="55"/>
      <c r="F812" s="55"/>
      <c r="G812" s="419"/>
      <c r="H812" s="55"/>
      <c r="I812" s="59"/>
      <c r="T812" s="55"/>
    </row>
    <row r="813" spans="5:20">
      <c r="E813" s="55"/>
      <c r="F813" s="55"/>
      <c r="G813" s="419"/>
      <c r="H813" s="55"/>
      <c r="I813" s="59"/>
      <c r="T813" s="55"/>
    </row>
    <row r="814" spans="5:20">
      <c r="E814" s="55"/>
      <c r="F814" s="55"/>
      <c r="G814" s="419"/>
      <c r="H814" s="55"/>
      <c r="I814" s="59"/>
      <c r="T814" s="55"/>
    </row>
    <row r="815" spans="5:20">
      <c r="E815" s="55"/>
      <c r="F815" s="55"/>
      <c r="G815" s="419"/>
      <c r="H815" s="55"/>
      <c r="I815" s="59"/>
      <c r="T815" s="55"/>
    </row>
    <row r="816" spans="5:20">
      <c r="E816" s="55"/>
      <c r="F816" s="55"/>
      <c r="G816" s="419"/>
      <c r="H816" s="55"/>
      <c r="I816" s="59"/>
      <c r="T816" s="55"/>
    </row>
    <row r="817" spans="5:20">
      <c r="E817" s="55"/>
      <c r="F817" s="55"/>
      <c r="G817" s="419"/>
      <c r="H817" s="55"/>
      <c r="I817" s="59"/>
      <c r="T817" s="55"/>
    </row>
    <row r="818" spans="5:20">
      <c r="E818" s="55"/>
      <c r="F818" s="55"/>
      <c r="G818" s="419"/>
      <c r="H818" s="55"/>
      <c r="I818" s="59"/>
      <c r="T818" s="55"/>
    </row>
    <row r="819" spans="5:20">
      <c r="E819" s="55"/>
      <c r="F819" s="55"/>
      <c r="G819" s="419"/>
      <c r="H819" s="55"/>
      <c r="I819" s="59"/>
      <c r="T819" s="55"/>
    </row>
    <row r="820" spans="5:20">
      <c r="E820" s="55"/>
      <c r="F820" s="55"/>
      <c r="G820" s="419"/>
      <c r="H820" s="55"/>
      <c r="I820" s="59"/>
      <c r="T820" s="55"/>
    </row>
    <row r="821" spans="5:20">
      <c r="E821" s="55"/>
      <c r="F821" s="55"/>
      <c r="G821" s="419"/>
      <c r="H821" s="55"/>
      <c r="I821" s="59"/>
      <c r="T821" s="55"/>
    </row>
    <row r="822" spans="5:20">
      <c r="E822" s="55"/>
      <c r="F822" s="55"/>
      <c r="G822" s="419"/>
      <c r="H822" s="55"/>
      <c r="I822" s="59"/>
      <c r="T822" s="55"/>
    </row>
    <row r="823" spans="5:20">
      <c r="E823" s="55"/>
      <c r="F823" s="55"/>
      <c r="G823" s="419"/>
      <c r="H823" s="55"/>
      <c r="I823" s="59"/>
      <c r="T823" s="55"/>
    </row>
    <row r="824" spans="5:20">
      <c r="E824" s="55"/>
      <c r="F824" s="55"/>
      <c r="G824" s="419"/>
      <c r="H824" s="55"/>
      <c r="I824" s="59"/>
      <c r="T824" s="55"/>
    </row>
    <row r="825" spans="5:20">
      <c r="E825" s="55"/>
      <c r="F825" s="55"/>
      <c r="G825" s="419"/>
      <c r="H825" s="55"/>
      <c r="I825" s="59"/>
      <c r="T825" s="55"/>
    </row>
    <row r="826" spans="5:20">
      <c r="E826" s="55"/>
      <c r="F826" s="55"/>
      <c r="G826" s="419"/>
      <c r="H826" s="55"/>
      <c r="I826" s="59"/>
      <c r="T826" s="55"/>
    </row>
    <row r="827" spans="5:20">
      <c r="E827" s="55"/>
      <c r="F827" s="55"/>
      <c r="G827" s="419"/>
      <c r="H827" s="55"/>
      <c r="I827" s="59"/>
      <c r="T827" s="55"/>
    </row>
    <row r="828" spans="5:20">
      <c r="E828" s="55"/>
      <c r="F828" s="55"/>
      <c r="G828" s="419"/>
      <c r="H828" s="55"/>
      <c r="I828" s="59"/>
      <c r="T828" s="55"/>
    </row>
    <row r="829" spans="5:20">
      <c r="E829" s="55"/>
      <c r="F829" s="55"/>
      <c r="G829" s="419"/>
      <c r="H829" s="55"/>
      <c r="I829" s="59"/>
      <c r="T829" s="55"/>
    </row>
    <row r="830" spans="5:20">
      <c r="E830" s="55"/>
      <c r="F830" s="55"/>
      <c r="G830" s="419"/>
      <c r="H830" s="55"/>
      <c r="I830" s="59"/>
      <c r="T830" s="55"/>
    </row>
    <row r="831" spans="5:20">
      <c r="E831" s="55"/>
      <c r="F831" s="55"/>
      <c r="G831" s="419"/>
      <c r="H831" s="55"/>
      <c r="I831" s="59"/>
      <c r="T831" s="55"/>
    </row>
    <row r="832" spans="5:20">
      <c r="E832" s="55"/>
      <c r="F832" s="55"/>
      <c r="G832" s="419"/>
      <c r="H832" s="55"/>
      <c r="I832" s="59"/>
      <c r="T832" s="55"/>
    </row>
    <row r="833" spans="5:20">
      <c r="E833" s="55"/>
      <c r="F833" s="55"/>
      <c r="G833" s="419"/>
      <c r="H833" s="55"/>
      <c r="I833" s="59"/>
      <c r="T833" s="55"/>
    </row>
    <row r="834" spans="5:20">
      <c r="E834" s="55"/>
      <c r="F834" s="55"/>
      <c r="G834" s="419"/>
      <c r="H834" s="55"/>
      <c r="I834" s="59"/>
      <c r="T834" s="55"/>
    </row>
    <row r="835" spans="5:20">
      <c r="E835" s="55"/>
      <c r="F835" s="55"/>
      <c r="G835" s="419"/>
      <c r="H835" s="55"/>
      <c r="I835" s="59"/>
      <c r="T835" s="55"/>
    </row>
    <row r="836" spans="5:20">
      <c r="E836" s="55"/>
      <c r="F836" s="55"/>
      <c r="G836" s="419"/>
      <c r="H836" s="55"/>
      <c r="I836" s="59"/>
      <c r="T836" s="55"/>
    </row>
    <row r="837" spans="5:20">
      <c r="E837" s="55"/>
      <c r="F837" s="55"/>
      <c r="G837" s="419"/>
      <c r="H837" s="55"/>
      <c r="I837" s="59"/>
      <c r="T837" s="55"/>
    </row>
    <row r="838" spans="5:20">
      <c r="E838" s="55"/>
      <c r="F838" s="55"/>
      <c r="G838" s="419"/>
      <c r="H838" s="55"/>
      <c r="I838" s="59"/>
      <c r="T838" s="55"/>
    </row>
    <row r="839" spans="5:20">
      <c r="E839" s="55"/>
      <c r="F839" s="55"/>
      <c r="G839" s="419"/>
      <c r="H839" s="55"/>
      <c r="I839" s="59"/>
      <c r="T839" s="55"/>
    </row>
    <row r="840" spans="5:20">
      <c r="E840" s="55"/>
      <c r="F840" s="55"/>
      <c r="G840" s="419"/>
      <c r="H840" s="55"/>
      <c r="I840" s="59"/>
      <c r="T840" s="55"/>
    </row>
    <row r="841" spans="5:20">
      <c r="E841" s="55"/>
      <c r="F841" s="55"/>
      <c r="G841" s="419"/>
      <c r="H841" s="55"/>
      <c r="I841" s="59"/>
      <c r="T841" s="55"/>
    </row>
    <row r="842" spans="5:20">
      <c r="E842" s="55"/>
      <c r="F842" s="55"/>
      <c r="G842" s="419"/>
      <c r="H842" s="55"/>
      <c r="I842" s="59"/>
      <c r="T842" s="55"/>
    </row>
    <row r="843" spans="5:20">
      <c r="E843" s="55"/>
      <c r="F843" s="55"/>
      <c r="G843" s="419"/>
      <c r="H843" s="55"/>
      <c r="I843" s="59"/>
      <c r="T843" s="55"/>
    </row>
    <row r="844" spans="5:20">
      <c r="E844" s="55"/>
      <c r="F844" s="55"/>
      <c r="G844" s="419"/>
      <c r="H844" s="55"/>
      <c r="I844" s="59"/>
      <c r="T844" s="55"/>
    </row>
    <row r="845" spans="5:20">
      <c r="E845" s="55"/>
      <c r="F845" s="55"/>
      <c r="G845" s="419"/>
      <c r="H845" s="55"/>
      <c r="I845" s="59"/>
      <c r="T845" s="55"/>
    </row>
    <row r="846" spans="5:20">
      <c r="E846" s="55"/>
      <c r="F846" s="55"/>
      <c r="G846" s="419"/>
      <c r="H846" s="55"/>
      <c r="I846" s="59"/>
      <c r="T846" s="55"/>
    </row>
    <row r="847" spans="5:20">
      <c r="E847" s="55"/>
      <c r="F847" s="55"/>
      <c r="G847" s="419"/>
      <c r="H847" s="55"/>
      <c r="I847" s="59"/>
      <c r="T847" s="55"/>
    </row>
    <row r="848" spans="5:20">
      <c r="E848" s="55"/>
      <c r="F848" s="55"/>
      <c r="G848" s="419"/>
      <c r="H848" s="55"/>
      <c r="I848" s="59"/>
      <c r="T848" s="55"/>
    </row>
    <row r="849" spans="5:20">
      <c r="E849" s="55"/>
      <c r="F849" s="55"/>
      <c r="G849" s="419"/>
      <c r="H849" s="55"/>
      <c r="I849" s="59"/>
      <c r="T849" s="55"/>
    </row>
    <row r="850" spans="5:20">
      <c r="E850" s="55"/>
      <c r="F850" s="55"/>
      <c r="G850" s="419"/>
      <c r="H850" s="55"/>
      <c r="I850" s="59"/>
      <c r="T850" s="55"/>
    </row>
    <row r="851" spans="5:20">
      <c r="E851" s="55"/>
      <c r="F851" s="55"/>
      <c r="G851" s="419"/>
      <c r="H851" s="55"/>
      <c r="I851" s="59"/>
      <c r="T851" s="55"/>
    </row>
    <row r="852" spans="5:20">
      <c r="E852" s="55"/>
      <c r="F852" s="55"/>
      <c r="G852" s="419"/>
      <c r="H852" s="55"/>
      <c r="I852" s="59"/>
      <c r="T852" s="55"/>
    </row>
    <row r="853" spans="5:20">
      <c r="E853" s="55"/>
      <c r="F853" s="55"/>
      <c r="G853" s="419"/>
      <c r="H853" s="55"/>
      <c r="I853" s="59"/>
      <c r="T853" s="55"/>
    </row>
    <row r="854" spans="5:20">
      <c r="E854" s="55"/>
      <c r="F854" s="55"/>
      <c r="G854" s="419"/>
      <c r="H854" s="55"/>
      <c r="I854" s="59"/>
      <c r="T854" s="55"/>
    </row>
    <row r="855" spans="5:20">
      <c r="E855" s="55"/>
      <c r="F855" s="55"/>
      <c r="G855" s="419"/>
      <c r="H855" s="55"/>
      <c r="I855" s="59"/>
      <c r="T855" s="55"/>
    </row>
    <row r="856" spans="5:20">
      <c r="E856" s="55"/>
      <c r="F856" s="55"/>
      <c r="G856" s="419"/>
      <c r="H856" s="55"/>
      <c r="I856" s="59"/>
      <c r="T856" s="55"/>
    </row>
    <row r="857" spans="5:20">
      <c r="E857" s="55"/>
      <c r="F857" s="55"/>
      <c r="G857" s="419"/>
      <c r="H857" s="55"/>
      <c r="I857" s="59"/>
      <c r="T857" s="55"/>
    </row>
    <row r="858" spans="5:20">
      <c r="E858" s="55"/>
      <c r="F858" s="55"/>
      <c r="G858" s="419"/>
      <c r="H858" s="55"/>
      <c r="I858" s="59"/>
      <c r="T858" s="55"/>
    </row>
    <row r="859" spans="5:20">
      <c r="E859" s="55"/>
      <c r="F859" s="55"/>
      <c r="G859" s="419"/>
      <c r="H859" s="55"/>
      <c r="I859" s="59"/>
      <c r="T859" s="55"/>
    </row>
    <row r="860" spans="5:20">
      <c r="E860" s="55"/>
      <c r="F860" s="55"/>
      <c r="G860" s="419"/>
      <c r="H860" s="55"/>
      <c r="I860" s="59"/>
      <c r="T860" s="55"/>
    </row>
    <row r="861" spans="5:20">
      <c r="E861" s="55"/>
      <c r="F861" s="55"/>
      <c r="G861" s="419"/>
      <c r="H861" s="55"/>
      <c r="I861" s="59"/>
      <c r="T861" s="55"/>
    </row>
    <row r="862" spans="5:20">
      <c r="E862" s="55"/>
      <c r="F862" s="55"/>
      <c r="G862" s="419"/>
      <c r="H862" s="55"/>
      <c r="I862" s="59"/>
      <c r="T862" s="55"/>
    </row>
    <row r="863" spans="5:20">
      <c r="E863" s="55"/>
      <c r="F863" s="55"/>
      <c r="G863" s="419"/>
      <c r="H863" s="55"/>
      <c r="I863" s="59"/>
      <c r="T863" s="55"/>
    </row>
    <row r="864" spans="5:20">
      <c r="E864" s="55"/>
      <c r="F864" s="55"/>
      <c r="G864" s="419"/>
      <c r="H864" s="55"/>
      <c r="I864" s="59"/>
      <c r="T864" s="55"/>
    </row>
    <row r="865" spans="5:20">
      <c r="E865" s="55"/>
      <c r="F865" s="55"/>
      <c r="G865" s="419"/>
      <c r="H865" s="55"/>
      <c r="I865" s="59"/>
      <c r="T865" s="55"/>
    </row>
    <row r="866" spans="5:20">
      <c r="E866" s="55"/>
      <c r="F866" s="55"/>
      <c r="G866" s="419"/>
      <c r="H866" s="55"/>
      <c r="I866" s="59"/>
      <c r="T866" s="55"/>
    </row>
    <row r="867" spans="5:20">
      <c r="E867" s="55"/>
      <c r="F867" s="55"/>
      <c r="G867" s="419"/>
      <c r="H867" s="55"/>
      <c r="I867" s="59"/>
      <c r="T867" s="55"/>
    </row>
    <row r="868" spans="5:20">
      <c r="E868" s="55"/>
      <c r="F868" s="55"/>
      <c r="G868" s="419"/>
      <c r="H868" s="55"/>
      <c r="I868" s="59"/>
      <c r="T868" s="55"/>
    </row>
    <row r="869" spans="5:20">
      <c r="E869" s="55"/>
      <c r="F869" s="55"/>
      <c r="G869" s="419"/>
      <c r="H869" s="55"/>
      <c r="I869" s="59"/>
      <c r="T869" s="55"/>
    </row>
    <row r="870" spans="5:20">
      <c r="E870" s="55"/>
      <c r="F870" s="55"/>
      <c r="G870" s="419"/>
      <c r="H870" s="55"/>
      <c r="I870" s="59"/>
      <c r="T870" s="55"/>
    </row>
    <row r="871" spans="5:20">
      <c r="E871" s="55"/>
      <c r="F871" s="55"/>
      <c r="G871" s="419"/>
      <c r="H871" s="55"/>
      <c r="I871" s="59"/>
      <c r="T871" s="55"/>
    </row>
    <row r="872" spans="5:20">
      <c r="E872" s="55"/>
      <c r="F872" s="55"/>
      <c r="G872" s="419"/>
      <c r="H872" s="55"/>
      <c r="I872" s="59"/>
      <c r="T872" s="55"/>
    </row>
    <row r="873" spans="5:20">
      <c r="E873" s="55"/>
      <c r="F873" s="55"/>
      <c r="G873" s="419"/>
      <c r="H873" s="55"/>
      <c r="I873" s="59"/>
      <c r="T873" s="55"/>
    </row>
    <row r="874" spans="5:20">
      <c r="E874" s="55"/>
      <c r="F874" s="55"/>
      <c r="G874" s="419"/>
      <c r="H874" s="55"/>
      <c r="I874" s="59"/>
      <c r="T874" s="55"/>
    </row>
    <row r="875" spans="5:20">
      <c r="E875" s="55"/>
      <c r="F875" s="55"/>
      <c r="G875" s="419"/>
      <c r="H875" s="55"/>
      <c r="I875" s="59"/>
      <c r="T875" s="55"/>
    </row>
    <row r="876" spans="5:20">
      <c r="E876" s="55"/>
      <c r="F876" s="55"/>
      <c r="G876" s="419"/>
      <c r="H876" s="55"/>
      <c r="I876" s="59"/>
      <c r="T876" s="55"/>
    </row>
    <row r="877" spans="5:20">
      <c r="E877" s="55"/>
      <c r="F877" s="55"/>
      <c r="G877" s="419"/>
      <c r="H877" s="55"/>
      <c r="I877" s="59"/>
      <c r="T877" s="55"/>
    </row>
    <row r="878" spans="5:20">
      <c r="E878" s="55"/>
      <c r="F878" s="55"/>
      <c r="G878" s="419"/>
      <c r="H878" s="55"/>
      <c r="I878" s="59"/>
      <c r="T878" s="55"/>
    </row>
    <row r="879" spans="5:20">
      <c r="E879" s="55"/>
      <c r="F879" s="55"/>
      <c r="G879" s="419"/>
      <c r="H879" s="55"/>
      <c r="I879" s="59"/>
      <c r="T879" s="55"/>
    </row>
    <row r="880" spans="5:20">
      <c r="E880" s="55"/>
      <c r="F880" s="55"/>
      <c r="G880" s="419"/>
      <c r="H880" s="55"/>
      <c r="I880" s="59"/>
      <c r="T880" s="55"/>
    </row>
    <row r="881" spans="5:20">
      <c r="E881" s="55"/>
      <c r="F881" s="55"/>
      <c r="G881" s="419"/>
      <c r="H881" s="55"/>
      <c r="I881" s="59"/>
      <c r="T881" s="55"/>
    </row>
    <row r="882" spans="5:20">
      <c r="E882" s="55"/>
      <c r="F882" s="55"/>
      <c r="G882" s="419"/>
      <c r="H882" s="55"/>
      <c r="I882" s="59"/>
      <c r="T882" s="55"/>
    </row>
    <row r="883" spans="5:20">
      <c r="E883" s="55"/>
      <c r="F883" s="55"/>
      <c r="G883" s="419"/>
      <c r="H883" s="55"/>
      <c r="I883" s="59"/>
      <c r="T883" s="55"/>
    </row>
    <row r="884" spans="5:20">
      <c r="E884" s="55"/>
      <c r="F884" s="55"/>
      <c r="G884" s="419"/>
      <c r="H884" s="55"/>
      <c r="I884" s="59"/>
      <c r="T884" s="55"/>
    </row>
    <row r="885" spans="5:20">
      <c r="E885" s="55"/>
      <c r="F885" s="55"/>
      <c r="G885" s="419"/>
      <c r="H885" s="55"/>
      <c r="I885" s="59"/>
      <c r="T885" s="55"/>
    </row>
    <row r="886" spans="5:20">
      <c r="E886" s="55"/>
      <c r="F886" s="55"/>
      <c r="G886" s="419"/>
      <c r="H886" s="55"/>
      <c r="I886" s="59"/>
      <c r="T886" s="55"/>
    </row>
    <row r="887" spans="5:20">
      <c r="E887" s="55"/>
      <c r="F887" s="55"/>
      <c r="G887" s="419"/>
      <c r="H887" s="55"/>
      <c r="I887" s="59"/>
      <c r="T887" s="55"/>
    </row>
    <row r="888" spans="5:20">
      <c r="E888" s="55"/>
      <c r="F888" s="55"/>
      <c r="G888" s="419"/>
      <c r="H888" s="55"/>
      <c r="I888" s="59"/>
      <c r="T888" s="55"/>
    </row>
    <row r="889" spans="5:20">
      <c r="E889" s="55"/>
      <c r="F889" s="55"/>
      <c r="G889" s="419"/>
      <c r="H889" s="55"/>
      <c r="I889" s="59"/>
      <c r="T889" s="55"/>
    </row>
    <row r="890" spans="5:20">
      <c r="E890" s="55"/>
      <c r="F890" s="55"/>
      <c r="G890" s="419"/>
      <c r="H890" s="55"/>
      <c r="I890" s="59"/>
      <c r="T890" s="55"/>
    </row>
    <row r="891" spans="5:20">
      <c r="E891" s="55"/>
      <c r="F891" s="55"/>
      <c r="G891" s="419"/>
      <c r="H891" s="55"/>
      <c r="I891" s="59"/>
      <c r="T891" s="55"/>
    </row>
    <row r="892" spans="5:20">
      <c r="E892" s="55"/>
      <c r="F892" s="55"/>
      <c r="G892" s="419"/>
      <c r="H892" s="55"/>
      <c r="I892" s="59"/>
      <c r="T892" s="55"/>
    </row>
    <row r="893" spans="5:20">
      <c r="E893" s="55"/>
      <c r="F893" s="55"/>
      <c r="G893" s="419"/>
      <c r="H893" s="55"/>
      <c r="I893" s="59"/>
      <c r="T893" s="55"/>
    </row>
    <row r="894" spans="5:20">
      <c r="E894" s="55"/>
      <c r="F894" s="55"/>
      <c r="G894" s="419"/>
      <c r="H894" s="55"/>
      <c r="I894" s="59"/>
      <c r="T894" s="55"/>
    </row>
    <row r="895" spans="5:20">
      <c r="E895" s="55"/>
      <c r="F895" s="55"/>
      <c r="G895" s="419"/>
      <c r="H895" s="55"/>
      <c r="I895" s="59"/>
      <c r="T895" s="55"/>
    </row>
    <row r="896" spans="5:20">
      <c r="E896" s="55"/>
      <c r="F896" s="55"/>
      <c r="G896" s="419"/>
      <c r="H896" s="55"/>
      <c r="I896" s="59"/>
      <c r="T896" s="55"/>
    </row>
    <row r="897" spans="5:20">
      <c r="E897" s="55"/>
      <c r="F897" s="55"/>
      <c r="G897" s="419"/>
      <c r="H897" s="55"/>
      <c r="I897" s="59"/>
      <c r="T897" s="55"/>
    </row>
    <row r="898" spans="5:20">
      <c r="E898" s="55"/>
      <c r="F898" s="55"/>
      <c r="G898" s="419"/>
      <c r="H898" s="55"/>
      <c r="I898" s="59"/>
      <c r="T898" s="55"/>
    </row>
    <row r="899" spans="5:20">
      <c r="E899" s="55"/>
      <c r="F899" s="55"/>
      <c r="G899" s="419"/>
      <c r="H899" s="55"/>
      <c r="I899" s="59"/>
      <c r="T899" s="55"/>
    </row>
    <row r="900" spans="5:20">
      <c r="E900" s="55"/>
      <c r="F900" s="55"/>
      <c r="G900" s="419"/>
      <c r="H900" s="55"/>
      <c r="I900" s="59"/>
      <c r="T900" s="55"/>
    </row>
    <row r="901" spans="5:20">
      <c r="E901" s="55"/>
      <c r="F901" s="55"/>
      <c r="G901" s="419"/>
      <c r="H901" s="55"/>
      <c r="I901" s="59"/>
      <c r="T901" s="55"/>
    </row>
    <row r="902" spans="5:20">
      <c r="E902" s="55"/>
      <c r="F902" s="55"/>
      <c r="G902" s="419"/>
      <c r="H902" s="55"/>
      <c r="I902" s="59"/>
      <c r="T902" s="55"/>
    </row>
    <row r="903" spans="5:20">
      <c r="E903" s="55"/>
      <c r="F903" s="55"/>
      <c r="G903" s="419"/>
      <c r="H903" s="55"/>
      <c r="I903" s="59"/>
      <c r="T903" s="55"/>
    </row>
    <row r="904" spans="5:20">
      <c r="E904" s="55"/>
      <c r="F904" s="55"/>
      <c r="G904" s="419"/>
      <c r="H904" s="55"/>
      <c r="I904" s="59"/>
      <c r="T904" s="55"/>
    </row>
    <row r="905" spans="5:20">
      <c r="E905" s="55"/>
      <c r="F905" s="55"/>
      <c r="G905" s="419"/>
      <c r="H905" s="55"/>
      <c r="I905" s="59"/>
      <c r="T905" s="55"/>
    </row>
    <row r="906" spans="5:20">
      <c r="E906" s="55"/>
      <c r="F906" s="55"/>
      <c r="G906" s="419"/>
      <c r="H906" s="55"/>
      <c r="I906" s="59"/>
      <c r="T906" s="55"/>
    </row>
    <row r="907" spans="5:20">
      <c r="E907" s="55"/>
      <c r="F907" s="55"/>
      <c r="G907" s="419"/>
      <c r="H907" s="55"/>
      <c r="I907" s="59"/>
      <c r="T907" s="55"/>
    </row>
    <row r="908" spans="5:20">
      <c r="E908" s="55"/>
      <c r="F908" s="55"/>
      <c r="G908" s="419"/>
      <c r="H908" s="55"/>
      <c r="I908" s="59"/>
      <c r="T908" s="55"/>
    </row>
    <row r="909" spans="5:20">
      <c r="E909" s="55"/>
      <c r="F909" s="55"/>
      <c r="G909" s="419"/>
      <c r="H909" s="55"/>
      <c r="I909" s="59"/>
      <c r="T909" s="55"/>
    </row>
    <row r="910" spans="5:20">
      <c r="E910" s="55"/>
      <c r="F910" s="55"/>
      <c r="G910" s="419"/>
      <c r="H910" s="55"/>
      <c r="I910" s="59"/>
      <c r="T910" s="55"/>
    </row>
    <row r="911" spans="5:20">
      <c r="E911" s="55"/>
      <c r="F911" s="55"/>
      <c r="G911" s="419"/>
      <c r="H911" s="55"/>
      <c r="I911" s="59"/>
      <c r="T911" s="55"/>
    </row>
    <row r="912" spans="5:20">
      <c r="E912" s="55"/>
      <c r="F912" s="55"/>
      <c r="G912" s="419"/>
      <c r="H912" s="55"/>
      <c r="I912" s="59"/>
      <c r="T912" s="55"/>
    </row>
    <row r="913" spans="5:20">
      <c r="E913" s="55"/>
      <c r="F913" s="55"/>
      <c r="G913" s="419"/>
      <c r="H913" s="55"/>
      <c r="I913" s="59"/>
      <c r="T913" s="55"/>
    </row>
    <row r="914" spans="5:20">
      <c r="E914" s="55"/>
      <c r="F914" s="55"/>
      <c r="G914" s="419"/>
      <c r="H914" s="55"/>
      <c r="I914" s="59"/>
      <c r="T914" s="55"/>
    </row>
    <row r="915" spans="5:20">
      <c r="E915" s="55"/>
      <c r="F915" s="55"/>
      <c r="G915" s="419"/>
      <c r="H915" s="55"/>
      <c r="I915" s="59"/>
      <c r="T915" s="55"/>
    </row>
    <row r="916" spans="5:20">
      <c r="E916" s="55"/>
      <c r="F916" s="55"/>
      <c r="G916" s="419"/>
      <c r="H916" s="55"/>
      <c r="I916" s="59"/>
      <c r="T916" s="55"/>
    </row>
    <row r="917" spans="5:20">
      <c r="E917" s="55"/>
      <c r="F917" s="55"/>
      <c r="G917" s="419"/>
      <c r="H917" s="55"/>
      <c r="I917" s="59"/>
      <c r="T917" s="55"/>
    </row>
    <row r="918" spans="5:20">
      <c r="E918" s="55"/>
      <c r="F918" s="55"/>
      <c r="G918" s="419"/>
      <c r="H918" s="55"/>
      <c r="I918" s="59"/>
      <c r="T918" s="55"/>
    </row>
    <row r="919" spans="5:20">
      <c r="E919" s="55"/>
      <c r="F919" s="55"/>
      <c r="G919" s="419"/>
      <c r="H919" s="55"/>
      <c r="I919" s="59"/>
      <c r="T919" s="55"/>
    </row>
    <row r="920" spans="5:20">
      <c r="E920" s="55"/>
      <c r="F920" s="55"/>
      <c r="G920" s="419"/>
      <c r="H920" s="55"/>
      <c r="I920" s="59"/>
      <c r="T920" s="55"/>
    </row>
    <row r="921" spans="5:20">
      <c r="E921" s="55"/>
      <c r="F921" s="55"/>
      <c r="G921" s="419"/>
      <c r="H921" s="55"/>
      <c r="I921" s="59"/>
      <c r="T921" s="55"/>
    </row>
    <row r="922" spans="5:20">
      <c r="E922" s="55"/>
      <c r="F922" s="55"/>
      <c r="G922" s="419"/>
      <c r="H922" s="55"/>
      <c r="I922" s="59"/>
      <c r="T922" s="55"/>
    </row>
    <row r="923" spans="5:20">
      <c r="E923" s="55"/>
      <c r="F923" s="55"/>
      <c r="G923" s="419"/>
      <c r="H923" s="55"/>
      <c r="I923" s="59"/>
      <c r="T923" s="55"/>
    </row>
    <row r="924" spans="5:20">
      <c r="E924" s="55"/>
      <c r="F924" s="55"/>
      <c r="G924" s="419"/>
      <c r="H924" s="55"/>
      <c r="I924" s="59"/>
      <c r="T924" s="55"/>
    </row>
    <row r="925" spans="5:20">
      <c r="E925" s="55"/>
      <c r="F925" s="55"/>
      <c r="G925" s="419"/>
      <c r="H925" s="55"/>
      <c r="I925" s="59"/>
      <c r="T925" s="55"/>
    </row>
    <row r="926" spans="5:20">
      <c r="E926" s="55"/>
      <c r="F926" s="55"/>
      <c r="G926" s="419"/>
      <c r="H926" s="55"/>
      <c r="I926" s="59"/>
      <c r="T926" s="55"/>
    </row>
    <row r="927" spans="5:20">
      <c r="E927" s="55"/>
      <c r="F927" s="55"/>
      <c r="G927" s="419"/>
      <c r="H927" s="55"/>
      <c r="I927" s="59"/>
      <c r="T927" s="55"/>
    </row>
    <row r="928" spans="5:20">
      <c r="E928" s="55"/>
      <c r="F928" s="55"/>
      <c r="G928" s="419"/>
      <c r="H928" s="55"/>
      <c r="I928" s="59"/>
      <c r="T928" s="55"/>
    </row>
    <row r="929" spans="5:20">
      <c r="E929" s="55"/>
      <c r="F929" s="55"/>
      <c r="G929" s="419"/>
      <c r="H929" s="55"/>
      <c r="I929" s="59"/>
      <c r="T929" s="55"/>
    </row>
    <row r="930" spans="5:20">
      <c r="E930" s="55"/>
      <c r="F930" s="55"/>
      <c r="G930" s="419"/>
      <c r="H930" s="55"/>
      <c r="I930" s="59"/>
      <c r="T930" s="55"/>
    </row>
    <row r="931" spans="5:20">
      <c r="E931" s="55"/>
      <c r="F931" s="55"/>
      <c r="G931" s="419"/>
      <c r="H931" s="55"/>
      <c r="I931" s="59"/>
      <c r="T931" s="55"/>
    </row>
    <row r="932" spans="5:20">
      <c r="E932" s="55"/>
      <c r="F932" s="55"/>
      <c r="G932" s="419"/>
      <c r="H932" s="55"/>
      <c r="I932" s="59"/>
      <c r="T932" s="55"/>
    </row>
    <row r="933" spans="5:20">
      <c r="E933" s="55"/>
      <c r="F933" s="55"/>
      <c r="G933" s="419"/>
      <c r="H933" s="55"/>
      <c r="I933" s="59"/>
      <c r="T933" s="55"/>
    </row>
    <row r="934" spans="5:20">
      <c r="E934" s="55"/>
      <c r="F934" s="55"/>
      <c r="G934" s="419"/>
      <c r="H934" s="55"/>
      <c r="I934" s="59"/>
      <c r="T934" s="55"/>
    </row>
    <row r="935" spans="5:20">
      <c r="E935" s="55"/>
      <c r="F935" s="55"/>
      <c r="G935" s="419"/>
      <c r="H935" s="55"/>
      <c r="I935" s="59"/>
      <c r="T935" s="55"/>
    </row>
    <row r="936" spans="5:20">
      <c r="E936" s="55"/>
      <c r="F936" s="55"/>
      <c r="G936" s="419"/>
      <c r="H936" s="55"/>
      <c r="I936" s="59"/>
      <c r="T936" s="55"/>
    </row>
    <row r="937" spans="5:20">
      <c r="E937" s="55"/>
      <c r="F937" s="55"/>
      <c r="G937" s="419"/>
      <c r="H937" s="55"/>
      <c r="I937" s="59"/>
      <c r="T937" s="55"/>
    </row>
    <row r="938" spans="5:20">
      <c r="E938" s="55"/>
      <c r="F938" s="55"/>
      <c r="G938" s="419"/>
      <c r="H938" s="55"/>
      <c r="I938" s="59"/>
      <c r="T938" s="55"/>
    </row>
    <row r="939" spans="5:20">
      <c r="E939" s="55"/>
      <c r="F939" s="55"/>
      <c r="G939" s="419"/>
      <c r="H939" s="55"/>
      <c r="I939" s="59"/>
      <c r="T939" s="55"/>
    </row>
    <row r="940" spans="5:20">
      <c r="E940" s="55"/>
      <c r="F940" s="55"/>
      <c r="G940" s="419"/>
      <c r="H940" s="55"/>
      <c r="I940" s="59"/>
      <c r="T940" s="55"/>
    </row>
    <row r="941" spans="5:20">
      <c r="E941" s="55"/>
      <c r="F941" s="55"/>
      <c r="G941" s="419"/>
      <c r="H941" s="55"/>
      <c r="I941" s="59"/>
      <c r="T941" s="55"/>
    </row>
    <row r="942" spans="5:20">
      <c r="E942" s="55"/>
      <c r="F942" s="55"/>
      <c r="G942" s="419"/>
      <c r="H942" s="55"/>
      <c r="I942" s="59"/>
      <c r="T942" s="55"/>
    </row>
    <row r="943" spans="5:20">
      <c r="E943" s="55"/>
      <c r="F943" s="55"/>
      <c r="G943" s="419"/>
      <c r="H943" s="55"/>
      <c r="I943" s="59"/>
      <c r="T943" s="55"/>
    </row>
    <row r="944" spans="5:20">
      <c r="E944" s="55"/>
      <c r="F944" s="55"/>
      <c r="G944" s="419"/>
      <c r="H944" s="55"/>
      <c r="I944" s="59"/>
      <c r="T944" s="55"/>
    </row>
    <row r="945" spans="5:20">
      <c r="E945" s="55"/>
      <c r="F945" s="55"/>
      <c r="G945" s="419"/>
      <c r="H945" s="55"/>
      <c r="I945" s="59"/>
      <c r="T945" s="55"/>
    </row>
    <row r="946" spans="5:20">
      <c r="E946" s="55"/>
      <c r="F946" s="55"/>
      <c r="G946" s="419"/>
      <c r="H946" s="55"/>
      <c r="I946" s="59"/>
      <c r="T946" s="55"/>
    </row>
    <row r="947" spans="5:20">
      <c r="E947" s="55"/>
      <c r="F947" s="55"/>
      <c r="G947" s="419"/>
      <c r="H947" s="55"/>
      <c r="I947" s="59"/>
      <c r="T947" s="55"/>
    </row>
    <row r="948" spans="5:20">
      <c r="E948" s="55"/>
      <c r="F948" s="55"/>
      <c r="G948" s="419"/>
      <c r="H948" s="55"/>
      <c r="I948" s="59"/>
      <c r="T948" s="55"/>
    </row>
    <row r="949" spans="5:20">
      <c r="E949" s="55"/>
      <c r="F949" s="55"/>
      <c r="G949" s="419"/>
      <c r="H949" s="55"/>
      <c r="I949" s="59"/>
      <c r="T949" s="55"/>
    </row>
    <row r="950" spans="5:20">
      <c r="E950" s="55"/>
      <c r="F950" s="55"/>
      <c r="G950" s="419"/>
      <c r="H950" s="55"/>
      <c r="I950" s="59"/>
      <c r="T950" s="55"/>
    </row>
    <row r="951" spans="5:20">
      <c r="E951" s="55"/>
      <c r="F951" s="55"/>
      <c r="G951" s="419"/>
      <c r="H951" s="55"/>
      <c r="I951" s="59"/>
      <c r="T951" s="55"/>
    </row>
    <row r="952" spans="5:20">
      <c r="E952" s="55"/>
      <c r="F952" s="55"/>
      <c r="G952" s="419"/>
      <c r="H952" s="55"/>
      <c r="I952" s="59"/>
      <c r="T952" s="55"/>
    </row>
    <row r="953" spans="5:20">
      <c r="E953" s="55"/>
      <c r="F953" s="55"/>
      <c r="G953" s="419"/>
      <c r="H953" s="55"/>
      <c r="I953" s="59"/>
      <c r="T953" s="55"/>
    </row>
    <row r="954" spans="5:20">
      <c r="E954" s="55"/>
      <c r="F954" s="55"/>
      <c r="G954" s="419"/>
      <c r="H954" s="55"/>
      <c r="I954" s="59"/>
      <c r="T954" s="55"/>
    </row>
    <row r="955" spans="5:20">
      <c r="E955" s="55"/>
      <c r="F955" s="55"/>
      <c r="G955" s="419"/>
      <c r="H955" s="55"/>
      <c r="I955" s="59"/>
      <c r="T955" s="55"/>
    </row>
    <row r="956" spans="5:20">
      <c r="E956" s="55"/>
      <c r="F956" s="55"/>
      <c r="G956" s="419"/>
      <c r="H956" s="55"/>
      <c r="I956" s="59"/>
      <c r="T956" s="55"/>
    </row>
    <row r="957" spans="5:20">
      <c r="E957" s="55"/>
      <c r="F957" s="55"/>
      <c r="G957" s="419"/>
      <c r="H957" s="55"/>
      <c r="I957" s="59"/>
      <c r="T957" s="55"/>
    </row>
    <row r="958" spans="5:20">
      <c r="E958" s="55"/>
      <c r="F958" s="55"/>
      <c r="G958" s="419"/>
      <c r="H958" s="55"/>
      <c r="I958" s="59"/>
      <c r="T958" s="55"/>
    </row>
    <row r="959" spans="5:20">
      <c r="E959" s="55"/>
      <c r="F959" s="55"/>
      <c r="G959" s="419"/>
      <c r="H959" s="55"/>
      <c r="I959" s="59"/>
      <c r="T959" s="55"/>
    </row>
    <row r="960" spans="5:20">
      <c r="E960" s="55"/>
      <c r="F960" s="55"/>
      <c r="G960" s="419"/>
      <c r="H960" s="55"/>
      <c r="I960" s="59"/>
      <c r="T960" s="55"/>
    </row>
    <row r="961" spans="5:20">
      <c r="E961" s="55"/>
      <c r="F961" s="55"/>
      <c r="G961" s="419"/>
      <c r="H961" s="55"/>
      <c r="I961" s="59"/>
      <c r="T961" s="55"/>
    </row>
    <row r="962" spans="5:20">
      <c r="E962" s="55"/>
      <c r="F962" s="55"/>
      <c r="G962" s="419"/>
      <c r="H962" s="55"/>
      <c r="I962" s="59"/>
      <c r="T962" s="55"/>
    </row>
    <row r="963" spans="5:20">
      <c r="E963" s="55"/>
      <c r="F963" s="55"/>
      <c r="G963" s="419"/>
      <c r="H963" s="55"/>
      <c r="I963" s="59"/>
      <c r="T963" s="55"/>
    </row>
    <row r="964" spans="5:20">
      <c r="E964" s="55"/>
      <c r="F964" s="55"/>
      <c r="G964" s="419"/>
      <c r="H964" s="55"/>
      <c r="I964" s="59"/>
      <c r="T964" s="55"/>
    </row>
    <row r="965" spans="5:20">
      <c r="E965" s="55"/>
      <c r="F965" s="55"/>
      <c r="G965" s="419"/>
      <c r="H965" s="55"/>
      <c r="I965" s="59"/>
      <c r="T965" s="55"/>
    </row>
    <row r="966" spans="5:20">
      <c r="E966" s="55"/>
      <c r="F966" s="55"/>
      <c r="G966" s="419"/>
      <c r="H966" s="55"/>
      <c r="I966" s="59"/>
      <c r="T966" s="55"/>
    </row>
    <row r="967" spans="5:20">
      <c r="E967" s="55"/>
      <c r="F967" s="55"/>
      <c r="G967" s="419"/>
      <c r="H967" s="55"/>
      <c r="I967" s="59"/>
      <c r="T967" s="55"/>
    </row>
    <row r="968" spans="5:20">
      <c r="E968" s="55"/>
      <c r="F968" s="55"/>
      <c r="G968" s="419"/>
      <c r="H968" s="55"/>
      <c r="I968" s="59"/>
      <c r="T968" s="55"/>
    </row>
    <row r="969" spans="5:20">
      <c r="E969" s="55"/>
      <c r="F969" s="55"/>
      <c r="G969" s="419"/>
      <c r="H969" s="55"/>
      <c r="I969" s="59"/>
      <c r="T969" s="55"/>
    </row>
    <row r="970" spans="5:20">
      <c r="E970" s="55"/>
      <c r="F970" s="55"/>
      <c r="G970" s="419"/>
      <c r="H970" s="55"/>
      <c r="I970" s="59"/>
      <c r="T970" s="55"/>
    </row>
    <row r="971" spans="5:20">
      <c r="E971" s="55"/>
      <c r="F971" s="55"/>
      <c r="G971" s="419"/>
      <c r="H971" s="55"/>
      <c r="I971" s="59"/>
      <c r="T971" s="55"/>
    </row>
    <row r="972" spans="5:20">
      <c r="E972" s="55"/>
      <c r="F972" s="55"/>
      <c r="G972" s="419"/>
      <c r="H972" s="55"/>
      <c r="I972" s="59"/>
      <c r="T972" s="55"/>
    </row>
    <row r="973" spans="5:20">
      <c r="E973" s="55"/>
      <c r="F973" s="55"/>
      <c r="G973" s="419"/>
      <c r="H973" s="55"/>
      <c r="I973" s="59"/>
      <c r="T973" s="55"/>
    </row>
    <row r="974" spans="5:20">
      <c r="E974" s="55"/>
      <c r="F974" s="55"/>
      <c r="G974" s="419"/>
      <c r="H974" s="55"/>
      <c r="I974" s="59"/>
      <c r="T974" s="55"/>
    </row>
    <row r="975" spans="5:20">
      <c r="E975" s="55"/>
      <c r="F975" s="55"/>
      <c r="G975" s="419"/>
      <c r="H975" s="55"/>
      <c r="I975" s="59"/>
      <c r="T975" s="55"/>
    </row>
    <row r="976" spans="5:20">
      <c r="E976" s="55"/>
      <c r="F976" s="55"/>
      <c r="G976" s="419"/>
      <c r="H976" s="55"/>
      <c r="I976" s="59"/>
      <c r="T976" s="55"/>
    </row>
    <row r="977" spans="5:20">
      <c r="E977" s="55"/>
      <c r="F977" s="55"/>
      <c r="G977" s="419"/>
      <c r="H977" s="55"/>
      <c r="I977" s="59"/>
      <c r="T977" s="55"/>
    </row>
    <row r="978" spans="5:20">
      <c r="E978" s="55"/>
      <c r="F978" s="55"/>
      <c r="G978" s="419"/>
      <c r="H978" s="55"/>
      <c r="I978" s="59"/>
      <c r="T978" s="55"/>
    </row>
    <row r="979" spans="5:20">
      <c r="E979" s="55"/>
      <c r="F979" s="55"/>
      <c r="G979" s="419"/>
      <c r="H979" s="55"/>
      <c r="I979" s="59"/>
      <c r="T979" s="55"/>
    </row>
    <row r="980" spans="5:20">
      <c r="E980" s="55"/>
      <c r="F980" s="55"/>
      <c r="G980" s="419"/>
      <c r="H980" s="55"/>
      <c r="I980" s="59"/>
      <c r="T980" s="55"/>
    </row>
    <row r="981" spans="5:20">
      <c r="E981" s="55"/>
      <c r="F981" s="55"/>
      <c r="G981" s="419"/>
      <c r="H981" s="55"/>
      <c r="I981" s="59"/>
      <c r="T981" s="55"/>
    </row>
    <row r="982" spans="5:20">
      <c r="E982" s="55"/>
      <c r="F982" s="55"/>
      <c r="G982" s="419"/>
      <c r="H982" s="55"/>
      <c r="I982" s="59"/>
      <c r="T982" s="55"/>
    </row>
    <row r="983" spans="5:20">
      <c r="E983" s="55"/>
      <c r="F983" s="55"/>
      <c r="G983" s="419"/>
      <c r="H983" s="55"/>
      <c r="I983" s="59"/>
      <c r="T983" s="55"/>
    </row>
    <row r="984" spans="5:20">
      <c r="E984" s="55"/>
      <c r="F984" s="55"/>
      <c r="G984" s="419"/>
      <c r="H984" s="55"/>
      <c r="I984" s="59"/>
      <c r="T984" s="55"/>
    </row>
    <row r="985" spans="5:20">
      <c r="E985" s="55"/>
      <c r="F985" s="55"/>
      <c r="G985" s="419"/>
      <c r="H985" s="55"/>
      <c r="I985" s="59"/>
      <c r="T985" s="55"/>
    </row>
    <row r="986" spans="5:20">
      <c r="E986" s="55"/>
      <c r="F986" s="55"/>
      <c r="G986" s="419"/>
      <c r="H986" s="55"/>
      <c r="I986" s="59"/>
      <c r="T986" s="55"/>
    </row>
    <row r="987" spans="5:20">
      <c r="E987" s="55"/>
      <c r="F987" s="55"/>
      <c r="G987" s="419"/>
      <c r="H987" s="55"/>
      <c r="I987" s="59"/>
      <c r="T987" s="55"/>
    </row>
    <row r="988" spans="5:20">
      <c r="E988" s="55"/>
      <c r="F988" s="55"/>
      <c r="G988" s="419"/>
      <c r="H988" s="55"/>
      <c r="I988" s="59"/>
      <c r="T988" s="55"/>
    </row>
    <row r="989" spans="5:20">
      <c r="E989" s="55"/>
      <c r="F989" s="55"/>
      <c r="G989" s="419"/>
      <c r="H989" s="55"/>
      <c r="I989" s="59"/>
      <c r="T989" s="55"/>
    </row>
    <row r="990" spans="5:20">
      <c r="E990" s="55"/>
      <c r="F990" s="55"/>
      <c r="G990" s="419"/>
      <c r="H990" s="55"/>
      <c r="I990" s="59"/>
      <c r="T990" s="55"/>
    </row>
    <row r="991" spans="5:20">
      <c r="E991" s="55"/>
      <c r="F991" s="55"/>
      <c r="G991" s="419"/>
      <c r="H991" s="55"/>
      <c r="I991" s="59"/>
      <c r="T991" s="55"/>
    </row>
    <row r="992" spans="5:20">
      <c r="E992" s="55"/>
      <c r="F992" s="55"/>
      <c r="G992" s="419"/>
      <c r="H992" s="55"/>
      <c r="I992" s="59"/>
      <c r="T992" s="55"/>
    </row>
    <row r="993" spans="5:20">
      <c r="E993" s="55"/>
      <c r="F993" s="55"/>
      <c r="G993" s="419"/>
      <c r="H993" s="55"/>
      <c r="I993" s="59"/>
      <c r="T993" s="55"/>
    </row>
    <row r="994" spans="5:20">
      <c r="E994" s="55"/>
      <c r="F994" s="55"/>
      <c r="G994" s="419"/>
      <c r="H994" s="55"/>
      <c r="I994" s="59"/>
      <c r="T994" s="55"/>
    </row>
    <row r="995" spans="5:20">
      <c r="E995" s="55"/>
      <c r="F995" s="55"/>
      <c r="G995" s="419"/>
      <c r="H995" s="55"/>
      <c r="I995" s="59"/>
      <c r="T995" s="55"/>
    </row>
    <row r="996" spans="5:20">
      <c r="E996" s="55"/>
      <c r="F996" s="55"/>
      <c r="G996" s="419"/>
      <c r="H996" s="55"/>
      <c r="I996" s="59"/>
      <c r="T996" s="55"/>
    </row>
    <row r="997" spans="5:20">
      <c r="E997" s="55"/>
      <c r="F997" s="55"/>
      <c r="G997" s="419"/>
      <c r="H997" s="55"/>
      <c r="I997" s="59"/>
      <c r="T997" s="55"/>
    </row>
    <row r="998" spans="5:20">
      <c r="E998" s="55"/>
      <c r="F998" s="55"/>
      <c r="G998" s="419"/>
      <c r="H998" s="55"/>
      <c r="I998" s="59"/>
      <c r="T998" s="55"/>
    </row>
    <row r="999" spans="5:20">
      <c r="E999" s="55"/>
      <c r="F999" s="55"/>
      <c r="G999" s="419"/>
      <c r="H999" s="55"/>
      <c r="I999" s="59"/>
      <c r="T999" s="55"/>
    </row>
    <row r="1000" spans="5:20">
      <c r="E1000" s="55"/>
      <c r="F1000" s="55"/>
      <c r="G1000" s="419"/>
      <c r="H1000" s="55"/>
      <c r="I1000" s="59"/>
      <c r="T1000" s="55"/>
    </row>
    <row r="1001" spans="5:20">
      <c r="E1001" s="55"/>
      <c r="F1001" s="55"/>
      <c r="G1001" s="419"/>
      <c r="H1001" s="55"/>
      <c r="I1001" s="59"/>
      <c r="T1001" s="55"/>
    </row>
    <row r="1002" spans="5:20">
      <c r="E1002" s="55"/>
      <c r="F1002" s="55"/>
      <c r="G1002" s="419"/>
      <c r="H1002" s="55"/>
      <c r="I1002" s="59"/>
      <c r="T1002" s="55"/>
    </row>
    <row r="1003" spans="5:20">
      <c r="E1003" s="55"/>
      <c r="F1003" s="55"/>
      <c r="G1003" s="419"/>
      <c r="H1003" s="55"/>
      <c r="I1003" s="59"/>
      <c r="T1003" s="55"/>
    </row>
    <row r="1004" spans="5:20">
      <c r="E1004" s="55"/>
      <c r="F1004" s="55"/>
      <c r="G1004" s="419"/>
      <c r="H1004" s="55"/>
      <c r="I1004" s="59"/>
      <c r="T1004" s="55"/>
    </row>
    <row r="1005" spans="5:20">
      <c r="E1005" s="55"/>
      <c r="F1005" s="55"/>
      <c r="G1005" s="419"/>
      <c r="H1005" s="55"/>
      <c r="I1005" s="59"/>
      <c r="T1005" s="55"/>
    </row>
    <row r="1006" spans="5:20">
      <c r="E1006" s="55"/>
      <c r="F1006" s="55"/>
      <c r="G1006" s="419"/>
      <c r="H1006" s="55"/>
      <c r="I1006" s="59"/>
      <c r="T1006" s="55"/>
    </row>
    <row r="1007" spans="5:20">
      <c r="E1007" s="55"/>
      <c r="F1007" s="55"/>
      <c r="G1007" s="419"/>
      <c r="H1007" s="55"/>
      <c r="I1007" s="59"/>
      <c r="T1007" s="55"/>
    </row>
    <row r="1008" spans="5:20">
      <c r="E1008" s="55"/>
      <c r="F1008" s="55"/>
      <c r="G1008" s="419"/>
      <c r="H1008" s="55"/>
      <c r="I1008" s="59"/>
      <c r="T1008" s="55"/>
    </row>
    <row r="1009" spans="5:20">
      <c r="E1009" s="55"/>
      <c r="F1009" s="55"/>
      <c r="G1009" s="419"/>
      <c r="H1009" s="55"/>
      <c r="I1009" s="59"/>
      <c r="T1009" s="55"/>
    </row>
    <row r="1010" spans="5:20">
      <c r="E1010" s="55"/>
      <c r="F1010" s="55"/>
      <c r="G1010" s="419"/>
      <c r="H1010" s="55"/>
      <c r="I1010" s="59"/>
      <c r="T1010" s="55"/>
    </row>
    <row r="1011" spans="5:20">
      <c r="E1011" s="55"/>
      <c r="F1011" s="55"/>
      <c r="G1011" s="419"/>
      <c r="H1011" s="55"/>
      <c r="I1011" s="59"/>
      <c r="T1011" s="55"/>
    </row>
    <row r="1012" spans="5:20">
      <c r="E1012" s="55"/>
      <c r="F1012" s="55"/>
      <c r="G1012" s="419"/>
      <c r="H1012" s="55"/>
      <c r="I1012" s="59"/>
      <c r="T1012" s="55"/>
    </row>
    <row r="1013" spans="5:20">
      <c r="E1013" s="55"/>
      <c r="F1013" s="55"/>
      <c r="G1013" s="419"/>
      <c r="H1013" s="55"/>
      <c r="I1013" s="59"/>
      <c r="T1013" s="55"/>
    </row>
    <row r="1014" spans="5:20">
      <c r="E1014" s="55"/>
      <c r="F1014" s="55"/>
      <c r="G1014" s="419"/>
      <c r="H1014" s="55"/>
      <c r="I1014" s="59"/>
      <c r="T1014" s="55"/>
    </row>
    <row r="1015" spans="5:20">
      <c r="E1015" s="55"/>
      <c r="F1015" s="55"/>
      <c r="G1015" s="419"/>
      <c r="H1015" s="55"/>
      <c r="I1015" s="59"/>
      <c r="T1015" s="55"/>
    </row>
    <row r="1016" spans="5:20">
      <c r="E1016" s="55"/>
      <c r="F1016" s="55"/>
      <c r="G1016" s="419"/>
      <c r="H1016" s="55"/>
      <c r="I1016" s="59"/>
      <c r="T1016" s="55"/>
    </row>
    <row r="1017" spans="5:20">
      <c r="E1017" s="55"/>
      <c r="F1017" s="55"/>
      <c r="G1017" s="419"/>
      <c r="H1017" s="55"/>
      <c r="I1017" s="59"/>
      <c r="T1017" s="55"/>
    </row>
    <row r="1018" spans="5:20">
      <c r="E1018" s="55"/>
      <c r="F1018" s="55"/>
      <c r="G1018" s="419"/>
      <c r="H1018" s="55"/>
      <c r="I1018" s="59"/>
      <c r="T1018" s="55"/>
    </row>
    <row r="1019" spans="5:20">
      <c r="E1019" s="55"/>
      <c r="F1019" s="55"/>
      <c r="G1019" s="419"/>
      <c r="H1019" s="55"/>
      <c r="I1019" s="59"/>
      <c r="T1019" s="55"/>
    </row>
    <row r="1020" spans="5:20">
      <c r="E1020" s="55"/>
      <c r="F1020" s="55"/>
      <c r="G1020" s="419"/>
      <c r="H1020" s="55"/>
      <c r="I1020" s="59"/>
      <c r="T1020" s="55"/>
    </row>
    <row r="1021" spans="5:20">
      <c r="E1021" s="55"/>
      <c r="F1021" s="55"/>
      <c r="G1021" s="419"/>
      <c r="H1021" s="55"/>
      <c r="I1021" s="59"/>
      <c r="T1021" s="55"/>
    </row>
    <row r="1022" spans="5:20">
      <c r="E1022" s="55"/>
      <c r="F1022" s="55"/>
      <c r="G1022" s="419"/>
      <c r="H1022" s="55"/>
      <c r="I1022" s="59"/>
      <c r="T1022" s="55"/>
    </row>
    <row r="1023" spans="5:20">
      <c r="E1023" s="55"/>
      <c r="F1023" s="55"/>
      <c r="G1023" s="419"/>
      <c r="H1023" s="55"/>
      <c r="I1023" s="59"/>
      <c r="T1023" s="55"/>
    </row>
    <row r="1024" spans="5:20">
      <c r="E1024" s="55"/>
      <c r="F1024" s="55"/>
      <c r="G1024" s="419"/>
      <c r="H1024" s="55"/>
      <c r="I1024" s="59"/>
      <c r="T1024" s="55"/>
    </row>
    <row r="1025" spans="5:20">
      <c r="E1025" s="55"/>
      <c r="F1025" s="55"/>
      <c r="G1025" s="419"/>
      <c r="H1025" s="55"/>
      <c r="I1025" s="59"/>
      <c r="T1025" s="55"/>
    </row>
    <row r="1026" spans="5:20">
      <c r="E1026" s="55"/>
      <c r="F1026" s="55"/>
      <c r="G1026" s="419"/>
      <c r="H1026" s="55"/>
      <c r="I1026" s="59"/>
      <c r="T1026" s="55"/>
    </row>
    <row r="1027" spans="5:20">
      <c r="E1027" s="55"/>
      <c r="F1027" s="55"/>
      <c r="G1027" s="419"/>
      <c r="H1027" s="55"/>
      <c r="I1027" s="59"/>
      <c r="T1027" s="55"/>
    </row>
    <row r="1028" spans="5:20">
      <c r="E1028" s="55"/>
      <c r="F1028" s="55"/>
      <c r="G1028" s="419"/>
      <c r="H1028" s="55"/>
      <c r="I1028" s="59"/>
      <c r="T1028" s="55"/>
    </row>
    <row r="1029" spans="5:20">
      <c r="E1029" s="55"/>
      <c r="F1029" s="55"/>
      <c r="G1029" s="419"/>
      <c r="H1029" s="55"/>
      <c r="I1029" s="59"/>
      <c r="T1029" s="55"/>
    </row>
    <row r="1030" spans="5:20">
      <c r="E1030" s="55"/>
      <c r="F1030" s="55"/>
      <c r="G1030" s="419"/>
      <c r="H1030" s="55"/>
      <c r="I1030" s="59"/>
      <c r="T1030" s="55"/>
    </row>
    <row r="1031" spans="5:20">
      <c r="E1031" s="55"/>
      <c r="F1031" s="55"/>
      <c r="G1031" s="419"/>
      <c r="H1031" s="55"/>
      <c r="I1031" s="59"/>
      <c r="T1031" s="55"/>
    </row>
    <row r="1032" spans="5:20">
      <c r="E1032" s="55"/>
      <c r="F1032" s="55"/>
      <c r="G1032" s="419"/>
      <c r="H1032" s="55"/>
      <c r="I1032" s="59"/>
      <c r="T1032" s="55"/>
    </row>
    <row r="1033" spans="5:20">
      <c r="E1033" s="55"/>
      <c r="F1033" s="55"/>
      <c r="G1033" s="419"/>
      <c r="H1033" s="55"/>
      <c r="I1033" s="59"/>
      <c r="T1033" s="55"/>
    </row>
    <row r="1034" spans="5:20">
      <c r="E1034" s="55"/>
      <c r="F1034" s="55"/>
      <c r="G1034" s="419"/>
      <c r="H1034" s="55"/>
      <c r="I1034" s="59"/>
      <c r="T1034" s="55"/>
    </row>
    <row r="1035" spans="5:20">
      <c r="E1035" s="55"/>
      <c r="F1035" s="55"/>
      <c r="G1035" s="419"/>
      <c r="H1035" s="55"/>
      <c r="I1035" s="59"/>
      <c r="T1035" s="55"/>
    </row>
    <row r="1036" spans="5:20">
      <c r="E1036" s="55"/>
      <c r="F1036" s="55"/>
      <c r="G1036" s="419"/>
      <c r="H1036" s="55"/>
      <c r="I1036" s="59"/>
      <c r="T1036" s="55"/>
    </row>
    <row r="1037" spans="5:20">
      <c r="E1037" s="55"/>
      <c r="F1037" s="55"/>
      <c r="G1037" s="419"/>
      <c r="H1037" s="55"/>
      <c r="I1037" s="59"/>
      <c r="T1037" s="55"/>
    </row>
    <row r="1038" spans="5:20">
      <c r="E1038" s="55"/>
      <c r="F1038" s="55"/>
      <c r="G1038" s="419"/>
      <c r="H1038" s="55"/>
      <c r="I1038" s="59"/>
      <c r="T1038" s="55"/>
    </row>
    <row r="1039" spans="5:20">
      <c r="E1039" s="55"/>
      <c r="F1039" s="55"/>
      <c r="G1039" s="419"/>
      <c r="H1039" s="55"/>
      <c r="I1039" s="59"/>
      <c r="T1039" s="55"/>
    </row>
    <row r="1040" spans="5:20">
      <c r="E1040" s="55"/>
      <c r="F1040" s="55"/>
      <c r="G1040" s="419"/>
      <c r="H1040" s="55"/>
      <c r="I1040" s="59"/>
      <c r="T1040" s="55"/>
    </row>
    <row r="1041" spans="5:20">
      <c r="E1041" s="55"/>
      <c r="F1041" s="55"/>
      <c r="G1041" s="419"/>
      <c r="H1041" s="55"/>
      <c r="I1041" s="59"/>
      <c r="T1041" s="55"/>
    </row>
    <row r="1042" spans="5:20">
      <c r="E1042" s="55"/>
      <c r="F1042" s="55"/>
      <c r="G1042" s="419"/>
      <c r="H1042" s="55"/>
      <c r="I1042" s="59"/>
      <c r="T1042" s="55"/>
    </row>
    <row r="1043" spans="5:20">
      <c r="E1043" s="55"/>
      <c r="F1043" s="55"/>
      <c r="G1043" s="419"/>
      <c r="H1043" s="55"/>
      <c r="I1043" s="59"/>
      <c r="T1043" s="55"/>
    </row>
    <row r="1044" spans="5:20">
      <c r="E1044" s="55"/>
      <c r="F1044" s="55"/>
      <c r="G1044" s="419"/>
      <c r="H1044" s="55"/>
      <c r="I1044" s="59"/>
      <c r="T1044" s="55"/>
    </row>
    <row r="1045" spans="5:20">
      <c r="E1045" s="55"/>
      <c r="F1045" s="55"/>
      <c r="G1045" s="419"/>
      <c r="H1045" s="55"/>
      <c r="I1045" s="59"/>
      <c r="T1045" s="55"/>
    </row>
    <row r="1046" spans="5:20">
      <c r="E1046" s="55"/>
      <c r="F1046" s="55"/>
      <c r="G1046" s="419"/>
      <c r="H1046" s="55"/>
      <c r="I1046" s="59"/>
      <c r="T1046" s="55"/>
    </row>
    <row r="1047" spans="5:20">
      <c r="E1047" s="55"/>
      <c r="F1047" s="55"/>
      <c r="G1047" s="419"/>
      <c r="H1047" s="55"/>
      <c r="I1047" s="59"/>
      <c r="T1047" s="55"/>
    </row>
    <row r="1048" spans="5:20">
      <c r="E1048" s="55"/>
      <c r="F1048" s="55"/>
      <c r="G1048" s="419"/>
      <c r="H1048" s="55"/>
      <c r="I1048" s="59"/>
      <c r="T1048" s="55"/>
    </row>
    <row r="1049" spans="5:20">
      <c r="E1049" s="55"/>
      <c r="F1049" s="55"/>
      <c r="G1049" s="419"/>
      <c r="H1049" s="55"/>
      <c r="I1049" s="59"/>
      <c r="T1049" s="55"/>
    </row>
    <row r="1050" spans="5:20">
      <c r="E1050" s="55"/>
      <c r="F1050" s="55"/>
      <c r="G1050" s="419"/>
      <c r="H1050" s="55"/>
      <c r="I1050" s="59"/>
      <c r="T1050" s="55"/>
    </row>
    <row r="1051" spans="5:20">
      <c r="E1051" s="55"/>
      <c r="F1051" s="55"/>
      <c r="G1051" s="419"/>
      <c r="H1051" s="55"/>
      <c r="I1051" s="59"/>
      <c r="T1051" s="55"/>
    </row>
    <row r="1052" spans="5:20">
      <c r="E1052" s="55"/>
      <c r="F1052" s="55"/>
      <c r="G1052" s="419"/>
      <c r="H1052" s="55"/>
      <c r="I1052" s="59"/>
      <c r="T1052" s="55"/>
    </row>
    <row r="1053" spans="5:20">
      <c r="E1053" s="55"/>
      <c r="F1053" s="55"/>
      <c r="G1053" s="419"/>
      <c r="H1053" s="55"/>
      <c r="I1053" s="59"/>
      <c r="T1053" s="55"/>
    </row>
    <row r="1054" spans="5:20">
      <c r="E1054" s="55"/>
      <c r="F1054" s="55"/>
      <c r="G1054" s="419"/>
      <c r="H1054" s="55"/>
      <c r="I1054" s="59"/>
      <c r="T1054" s="55"/>
    </row>
    <row r="1055" spans="5:20">
      <c r="E1055" s="55"/>
      <c r="F1055" s="55"/>
      <c r="G1055" s="419"/>
      <c r="H1055" s="55"/>
      <c r="I1055" s="59"/>
      <c r="T1055" s="55"/>
    </row>
    <row r="1056" spans="5:20">
      <c r="E1056" s="55"/>
      <c r="F1056" s="55"/>
      <c r="G1056" s="419"/>
      <c r="H1056" s="55"/>
      <c r="I1056" s="59"/>
      <c r="T1056" s="55"/>
    </row>
    <row r="1057" spans="5:20">
      <c r="E1057" s="55"/>
      <c r="F1057" s="55"/>
      <c r="G1057" s="419"/>
      <c r="H1057" s="55"/>
      <c r="I1057" s="59"/>
      <c r="T1057" s="55"/>
    </row>
    <row r="1058" spans="5:20">
      <c r="E1058" s="55"/>
      <c r="F1058" s="55"/>
      <c r="G1058" s="419"/>
      <c r="H1058" s="55"/>
      <c r="I1058" s="59"/>
      <c r="T1058" s="55"/>
    </row>
    <row r="1059" spans="5:20">
      <c r="E1059" s="55"/>
      <c r="F1059" s="55"/>
      <c r="G1059" s="419"/>
      <c r="H1059" s="55"/>
      <c r="I1059" s="59"/>
      <c r="T1059" s="55"/>
    </row>
    <row r="1060" spans="5:20">
      <c r="E1060" s="55"/>
      <c r="F1060" s="55"/>
      <c r="G1060" s="419"/>
      <c r="H1060" s="55"/>
      <c r="I1060" s="59"/>
      <c r="T1060" s="55"/>
    </row>
    <row r="1061" spans="5:20">
      <c r="I1061" s="59"/>
      <c r="T1061" s="55"/>
    </row>
    <row r="1062" spans="5:20">
      <c r="I1062" s="59"/>
      <c r="T1062" s="55"/>
    </row>
    <row r="1063" spans="5:20">
      <c r="I1063" s="59"/>
      <c r="T1063" s="55"/>
    </row>
    <row r="1064" spans="5:20">
      <c r="I1064" s="59"/>
      <c r="T1064" s="55"/>
    </row>
    <row r="1065" spans="5:20">
      <c r="I1065" s="59"/>
      <c r="T1065" s="55"/>
    </row>
    <row r="1066" spans="5:20">
      <c r="I1066" s="59"/>
      <c r="T1066" s="55"/>
    </row>
    <row r="1067" spans="5:20">
      <c r="I1067" s="59"/>
      <c r="T1067" s="55"/>
    </row>
    <row r="1068" spans="5:20">
      <c r="I1068" s="59"/>
      <c r="T1068" s="55"/>
    </row>
    <row r="1069" spans="5:20">
      <c r="I1069" s="59"/>
      <c r="T1069" s="55"/>
    </row>
    <row r="1070" spans="5:20">
      <c r="I1070" s="59"/>
      <c r="T1070" s="55"/>
    </row>
    <row r="1071" spans="5:20">
      <c r="I1071" s="59"/>
      <c r="T1071" s="55"/>
    </row>
    <row r="1072" spans="5:20">
      <c r="I1072" s="59"/>
      <c r="T1072" s="55"/>
    </row>
    <row r="1073" spans="20:20">
      <c r="T1073" s="55"/>
    </row>
  </sheetData>
  <autoFilter ref="C1:U1" xr:uid="{00000000-0009-0000-0000-000000000000}"/>
  <mergeCells count="52">
    <mergeCell ref="J215:J225"/>
    <mergeCell ref="K215:L215"/>
    <mergeCell ref="N215:N22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L225:M225"/>
    <mergeCell ref="N229:N23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L239:M239"/>
    <mergeCell ref="N242:N252"/>
    <mergeCell ref="K243:L243"/>
    <mergeCell ref="K244:L244"/>
    <mergeCell ref="K245:L245"/>
    <mergeCell ref="K246:L246"/>
    <mergeCell ref="L252:M252"/>
    <mergeCell ref="J242:J252"/>
    <mergeCell ref="K242:L242"/>
    <mergeCell ref="J229:J239"/>
    <mergeCell ref="K229:L229"/>
    <mergeCell ref="K247:L247"/>
    <mergeCell ref="K248:L248"/>
    <mergeCell ref="K249:L249"/>
    <mergeCell ref="K250:L250"/>
    <mergeCell ref="K251:L251"/>
    <mergeCell ref="J255:J265"/>
    <mergeCell ref="K255:L255"/>
    <mergeCell ref="N255:N26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L265:M265"/>
  </mergeCells>
  <phoneticPr fontId="49" type="noConversion"/>
  <conditionalFormatting sqref="I213 D2:D212 I266:I406 I226:I227">
    <cfRule type="duplicateValues" dxfId="14" priority="17"/>
  </conditionalFormatting>
  <conditionalFormatting sqref="I225 L225">
    <cfRule type="containsText" dxfId="13" priority="1" operator="containsText" text="non">
      <formula>NOT(ISERROR(SEARCH("non",I225)))</formula>
    </cfRule>
    <cfRule type="containsText" dxfId="12" priority="2" operator="containsText" text="OK">
      <formula>NOT(ISERROR(SEARCH("OK",I225)))</formula>
    </cfRule>
  </conditionalFormatting>
  <conditionalFormatting sqref="I239 L239">
    <cfRule type="containsText" dxfId="11" priority="7" operator="containsText" text="non">
      <formula>NOT(ISERROR(SEARCH("non",I239)))</formula>
    </cfRule>
    <cfRule type="containsText" dxfId="10" priority="8" operator="containsText" text="OK">
      <formula>NOT(ISERROR(SEARCH("OK",I239)))</formula>
    </cfRule>
  </conditionalFormatting>
  <conditionalFormatting sqref="I252 L252">
    <cfRule type="containsText" dxfId="9" priority="5" operator="containsText" text="non">
      <formula>NOT(ISERROR(SEARCH("non",I252)))</formula>
    </cfRule>
    <cfRule type="containsText" dxfId="8" priority="6" operator="containsText" text="OK">
      <formula>NOT(ISERROR(SEARCH("OK",I252)))</formula>
    </cfRule>
  </conditionalFormatting>
  <conditionalFormatting sqref="I265 L265">
    <cfRule type="containsText" dxfId="7" priority="3" operator="containsText" text="non">
      <formula>NOT(ISERROR(SEARCH("non",I265)))</formula>
    </cfRule>
    <cfRule type="containsText" dxfId="6" priority="4" operator="containsText" text="OK">
      <formula>NOT(ISERROR(SEARCH("OK",I265)))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1692-9D98-4A21-9B8B-06392756D0B5}">
  <dimension ref="A1:J33"/>
  <sheetViews>
    <sheetView topLeftCell="B7" zoomScaleNormal="100" zoomScaleSheetLayoutView="40" workbookViewId="0">
      <selection activeCell="G23" sqref="G23"/>
    </sheetView>
  </sheetViews>
  <sheetFormatPr baseColWidth="10" defaultColWidth="11.42578125" defaultRowHeight="15"/>
  <cols>
    <col min="1" max="1" width="17.42578125" customWidth="1"/>
    <col min="2" max="10" width="19.5703125" customWidth="1"/>
    <col min="251" max="251" width="7.5703125" customWidth="1"/>
    <col min="252" max="252" width="20.42578125" bestFit="1" customWidth="1"/>
    <col min="253" max="253" width="11.42578125" bestFit="1" customWidth="1"/>
    <col min="254" max="254" width="3" customWidth="1"/>
    <col min="255" max="255" width="20.42578125" bestFit="1" customWidth="1"/>
    <col min="256" max="256" width="23.5703125" customWidth="1"/>
    <col min="257" max="257" width="19.5703125" customWidth="1"/>
    <col min="258" max="258" width="16" customWidth="1"/>
    <col min="259" max="259" width="21.42578125" customWidth="1"/>
    <col min="260" max="260" width="31.140625" customWidth="1"/>
    <col min="261" max="261" width="20.42578125" bestFit="1" customWidth="1"/>
    <col min="262" max="262" width="11.42578125" bestFit="1" customWidth="1"/>
    <col min="264" max="264" width="16.140625" customWidth="1"/>
    <col min="507" max="507" width="7.5703125" customWidth="1"/>
    <col min="508" max="508" width="20.42578125" bestFit="1" customWidth="1"/>
    <col min="509" max="509" width="11.42578125" bestFit="1" customWidth="1"/>
    <col min="510" max="510" width="3" customWidth="1"/>
    <col min="511" max="511" width="20.42578125" bestFit="1" customWidth="1"/>
    <col min="512" max="512" width="23.5703125" customWidth="1"/>
    <col min="513" max="513" width="19.5703125" customWidth="1"/>
    <col min="514" max="514" width="16" customWidth="1"/>
    <col min="515" max="515" width="21.42578125" customWidth="1"/>
    <col min="516" max="516" width="31.140625" customWidth="1"/>
    <col min="517" max="517" width="20.42578125" bestFit="1" customWidth="1"/>
    <col min="518" max="518" width="11.42578125" bestFit="1" customWidth="1"/>
    <col min="520" max="520" width="16.140625" customWidth="1"/>
    <col min="763" max="763" width="7.5703125" customWidth="1"/>
    <col min="764" max="764" width="20.42578125" bestFit="1" customWidth="1"/>
    <col min="765" max="765" width="11.42578125" bestFit="1" customWidth="1"/>
    <col min="766" max="766" width="3" customWidth="1"/>
    <col min="767" max="767" width="20.42578125" bestFit="1" customWidth="1"/>
    <col min="768" max="768" width="23.5703125" customWidth="1"/>
    <col min="769" max="769" width="19.5703125" customWidth="1"/>
    <col min="770" max="770" width="16" customWidth="1"/>
    <col min="771" max="771" width="21.42578125" customWidth="1"/>
    <col min="772" max="772" width="31.140625" customWidth="1"/>
    <col min="773" max="773" width="20.42578125" bestFit="1" customWidth="1"/>
    <col min="774" max="774" width="11.42578125" bestFit="1" customWidth="1"/>
    <col min="776" max="776" width="16.140625" customWidth="1"/>
    <col min="1019" max="1019" width="7.5703125" customWidth="1"/>
    <col min="1020" max="1020" width="20.42578125" bestFit="1" customWidth="1"/>
    <col min="1021" max="1021" width="11.42578125" bestFit="1" customWidth="1"/>
    <col min="1022" max="1022" width="3" customWidth="1"/>
    <col min="1023" max="1023" width="20.42578125" bestFit="1" customWidth="1"/>
    <col min="1024" max="1024" width="23.5703125" customWidth="1"/>
    <col min="1025" max="1025" width="19.5703125" customWidth="1"/>
    <col min="1026" max="1026" width="16" customWidth="1"/>
    <col min="1027" max="1027" width="21.42578125" customWidth="1"/>
    <col min="1028" max="1028" width="31.140625" customWidth="1"/>
    <col min="1029" max="1029" width="20.42578125" bestFit="1" customWidth="1"/>
    <col min="1030" max="1030" width="11.42578125" bestFit="1" customWidth="1"/>
    <col min="1032" max="1032" width="16.140625" customWidth="1"/>
    <col min="1275" max="1275" width="7.5703125" customWidth="1"/>
    <col min="1276" max="1276" width="20.42578125" bestFit="1" customWidth="1"/>
    <col min="1277" max="1277" width="11.42578125" bestFit="1" customWidth="1"/>
    <col min="1278" max="1278" width="3" customWidth="1"/>
    <col min="1279" max="1279" width="20.42578125" bestFit="1" customWidth="1"/>
    <col min="1280" max="1280" width="23.5703125" customWidth="1"/>
    <col min="1281" max="1281" width="19.5703125" customWidth="1"/>
    <col min="1282" max="1282" width="16" customWidth="1"/>
    <col min="1283" max="1283" width="21.42578125" customWidth="1"/>
    <col min="1284" max="1284" width="31.140625" customWidth="1"/>
    <col min="1285" max="1285" width="20.42578125" bestFit="1" customWidth="1"/>
    <col min="1286" max="1286" width="11.42578125" bestFit="1" customWidth="1"/>
    <col min="1288" max="1288" width="16.140625" customWidth="1"/>
    <col min="1531" max="1531" width="7.5703125" customWidth="1"/>
    <col min="1532" max="1532" width="20.42578125" bestFit="1" customWidth="1"/>
    <col min="1533" max="1533" width="11.42578125" bestFit="1" customWidth="1"/>
    <col min="1534" max="1534" width="3" customWidth="1"/>
    <col min="1535" max="1535" width="20.42578125" bestFit="1" customWidth="1"/>
    <col min="1536" max="1536" width="23.5703125" customWidth="1"/>
    <col min="1537" max="1537" width="19.5703125" customWidth="1"/>
    <col min="1538" max="1538" width="16" customWidth="1"/>
    <col min="1539" max="1539" width="21.42578125" customWidth="1"/>
    <col min="1540" max="1540" width="31.140625" customWidth="1"/>
    <col min="1541" max="1541" width="20.42578125" bestFit="1" customWidth="1"/>
    <col min="1542" max="1542" width="11.42578125" bestFit="1" customWidth="1"/>
    <col min="1544" max="1544" width="16.140625" customWidth="1"/>
    <col min="1787" max="1787" width="7.5703125" customWidth="1"/>
    <col min="1788" max="1788" width="20.42578125" bestFit="1" customWidth="1"/>
    <col min="1789" max="1789" width="11.42578125" bestFit="1" customWidth="1"/>
    <col min="1790" max="1790" width="3" customWidth="1"/>
    <col min="1791" max="1791" width="20.42578125" bestFit="1" customWidth="1"/>
    <col min="1792" max="1792" width="23.5703125" customWidth="1"/>
    <col min="1793" max="1793" width="19.5703125" customWidth="1"/>
    <col min="1794" max="1794" width="16" customWidth="1"/>
    <col min="1795" max="1795" width="21.42578125" customWidth="1"/>
    <col min="1796" max="1796" width="31.140625" customWidth="1"/>
    <col min="1797" max="1797" width="20.42578125" bestFit="1" customWidth="1"/>
    <col min="1798" max="1798" width="11.42578125" bestFit="1" customWidth="1"/>
    <col min="1800" max="1800" width="16.140625" customWidth="1"/>
    <col min="2043" max="2043" width="7.5703125" customWidth="1"/>
    <col min="2044" max="2044" width="20.42578125" bestFit="1" customWidth="1"/>
    <col min="2045" max="2045" width="11.42578125" bestFit="1" customWidth="1"/>
    <col min="2046" max="2046" width="3" customWidth="1"/>
    <col min="2047" max="2047" width="20.42578125" bestFit="1" customWidth="1"/>
    <col min="2048" max="2048" width="23.5703125" customWidth="1"/>
    <col min="2049" max="2049" width="19.5703125" customWidth="1"/>
    <col min="2050" max="2050" width="16" customWidth="1"/>
    <col min="2051" max="2051" width="21.42578125" customWidth="1"/>
    <col min="2052" max="2052" width="31.140625" customWidth="1"/>
    <col min="2053" max="2053" width="20.42578125" bestFit="1" customWidth="1"/>
    <col min="2054" max="2054" width="11.42578125" bestFit="1" customWidth="1"/>
    <col min="2056" max="2056" width="16.140625" customWidth="1"/>
    <col min="2299" max="2299" width="7.5703125" customWidth="1"/>
    <col min="2300" max="2300" width="20.42578125" bestFit="1" customWidth="1"/>
    <col min="2301" max="2301" width="11.42578125" bestFit="1" customWidth="1"/>
    <col min="2302" max="2302" width="3" customWidth="1"/>
    <col min="2303" max="2303" width="20.42578125" bestFit="1" customWidth="1"/>
    <col min="2304" max="2304" width="23.5703125" customWidth="1"/>
    <col min="2305" max="2305" width="19.5703125" customWidth="1"/>
    <col min="2306" max="2306" width="16" customWidth="1"/>
    <col min="2307" max="2307" width="21.42578125" customWidth="1"/>
    <col min="2308" max="2308" width="31.140625" customWidth="1"/>
    <col min="2309" max="2309" width="20.42578125" bestFit="1" customWidth="1"/>
    <col min="2310" max="2310" width="11.42578125" bestFit="1" customWidth="1"/>
    <col min="2312" max="2312" width="16.140625" customWidth="1"/>
    <col min="2555" max="2555" width="7.5703125" customWidth="1"/>
    <col min="2556" max="2556" width="20.42578125" bestFit="1" customWidth="1"/>
    <col min="2557" max="2557" width="11.42578125" bestFit="1" customWidth="1"/>
    <col min="2558" max="2558" width="3" customWidth="1"/>
    <col min="2559" max="2559" width="20.42578125" bestFit="1" customWidth="1"/>
    <col min="2560" max="2560" width="23.5703125" customWidth="1"/>
    <col min="2561" max="2561" width="19.5703125" customWidth="1"/>
    <col min="2562" max="2562" width="16" customWidth="1"/>
    <col min="2563" max="2563" width="21.42578125" customWidth="1"/>
    <col min="2564" max="2564" width="31.140625" customWidth="1"/>
    <col min="2565" max="2565" width="20.42578125" bestFit="1" customWidth="1"/>
    <col min="2566" max="2566" width="11.42578125" bestFit="1" customWidth="1"/>
    <col min="2568" max="2568" width="16.140625" customWidth="1"/>
    <col min="2811" max="2811" width="7.5703125" customWidth="1"/>
    <col min="2812" max="2812" width="20.42578125" bestFit="1" customWidth="1"/>
    <col min="2813" max="2813" width="11.42578125" bestFit="1" customWidth="1"/>
    <col min="2814" max="2814" width="3" customWidth="1"/>
    <col min="2815" max="2815" width="20.42578125" bestFit="1" customWidth="1"/>
    <col min="2816" max="2816" width="23.5703125" customWidth="1"/>
    <col min="2817" max="2817" width="19.5703125" customWidth="1"/>
    <col min="2818" max="2818" width="16" customWidth="1"/>
    <col min="2819" max="2819" width="21.42578125" customWidth="1"/>
    <col min="2820" max="2820" width="31.140625" customWidth="1"/>
    <col min="2821" max="2821" width="20.42578125" bestFit="1" customWidth="1"/>
    <col min="2822" max="2822" width="11.42578125" bestFit="1" customWidth="1"/>
    <col min="2824" max="2824" width="16.140625" customWidth="1"/>
    <col min="3067" max="3067" width="7.5703125" customWidth="1"/>
    <col min="3068" max="3068" width="20.42578125" bestFit="1" customWidth="1"/>
    <col min="3069" max="3069" width="11.42578125" bestFit="1" customWidth="1"/>
    <col min="3070" max="3070" width="3" customWidth="1"/>
    <col min="3071" max="3071" width="20.42578125" bestFit="1" customWidth="1"/>
    <col min="3072" max="3072" width="23.5703125" customWidth="1"/>
    <col min="3073" max="3073" width="19.5703125" customWidth="1"/>
    <col min="3074" max="3074" width="16" customWidth="1"/>
    <col min="3075" max="3075" width="21.42578125" customWidth="1"/>
    <col min="3076" max="3076" width="31.140625" customWidth="1"/>
    <col min="3077" max="3077" width="20.42578125" bestFit="1" customWidth="1"/>
    <col min="3078" max="3078" width="11.42578125" bestFit="1" customWidth="1"/>
    <col min="3080" max="3080" width="16.140625" customWidth="1"/>
    <col min="3323" max="3323" width="7.5703125" customWidth="1"/>
    <col min="3324" max="3324" width="20.42578125" bestFit="1" customWidth="1"/>
    <col min="3325" max="3325" width="11.42578125" bestFit="1" customWidth="1"/>
    <col min="3326" max="3326" width="3" customWidth="1"/>
    <col min="3327" max="3327" width="20.42578125" bestFit="1" customWidth="1"/>
    <col min="3328" max="3328" width="23.5703125" customWidth="1"/>
    <col min="3329" max="3329" width="19.5703125" customWidth="1"/>
    <col min="3330" max="3330" width="16" customWidth="1"/>
    <col min="3331" max="3331" width="21.42578125" customWidth="1"/>
    <col min="3332" max="3332" width="31.140625" customWidth="1"/>
    <col min="3333" max="3333" width="20.42578125" bestFit="1" customWidth="1"/>
    <col min="3334" max="3334" width="11.42578125" bestFit="1" customWidth="1"/>
    <col min="3336" max="3336" width="16.140625" customWidth="1"/>
    <col min="3579" max="3579" width="7.5703125" customWidth="1"/>
    <col min="3580" max="3580" width="20.42578125" bestFit="1" customWidth="1"/>
    <col min="3581" max="3581" width="11.42578125" bestFit="1" customWidth="1"/>
    <col min="3582" max="3582" width="3" customWidth="1"/>
    <col min="3583" max="3583" width="20.42578125" bestFit="1" customWidth="1"/>
    <col min="3584" max="3584" width="23.5703125" customWidth="1"/>
    <col min="3585" max="3585" width="19.5703125" customWidth="1"/>
    <col min="3586" max="3586" width="16" customWidth="1"/>
    <col min="3587" max="3587" width="21.42578125" customWidth="1"/>
    <col min="3588" max="3588" width="31.140625" customWidth="1"/>
    <col min="3589" max="3589" width="20.42578125" bestFit="1" customWidth="1"/>
    <col min="3590" max="3590" width="11.42578125" bestFit="1" customWidth="1"/>
    <col min="3592" max="3592" width="16.140625" customWidth="1"/>
    <col min="3835" max="3835" width="7.5703125" customWidth="1"/>
    <col min="3836" max="3836" width="20.42578125" bestFit="1" customWidth="1"/>
    <col min="3837" max="3837" width="11.42578125" bestFit="1" customWidth="1"/>
    <col min="3838" max="3838" width="3" customWidth="1"/>
    <col min="3839" max="3839" width="20.42578125" bestFit="1" customWidth="1"/>
    <col min="3840" max="3840" width="23.5703125" customWidth="1"/>
    <col min="3841" max="3841" width="19.5703125" customWidth="1"/>
    <col min="3842" max="3842" width="16" customWidth="1"/>
    <col min="3843" max="3843" width="21.42578125" customWidth="1"/>
    <col min="3844" max="3844" width="31.140625" customWidth="1"/>
    <col min="3845" max="3845" width="20.42578125" bestFit="1" customWidth="1"/>
    <col min="3846" max="3846" width="11.42578125" bestFit="1" customWidth="1"/>
    <col min="3848" max="3848" width="16.140625" customWidth="1"/>
    <col min="4091" max="4091" width="7.5703125" customWidth="1"/>
    <col min="4092" max="4092" width="20.42578125" bestFit="1" customWidth="1"/>
    <col min="4093" max="4093" width="11.42578125" bestFit="1" customWidth="1"/>
    <col min="4094" max="4094" width="3" customWidth="1"/>
    <col min="4095" max="4095" width="20.42578125" bestFit="1" customWidth="1"/>
    <col min="4096" max="4096" width="23.5703125" customWidth="1"/>
    <col min="4097" max="4097" width="19.5703125" customWidth="1"/>
    <col min="4098" max="4098" width="16" customWidth="1"/>
    <col min="4099" max="4099" width="21.42578125" customWidth="1"/>
    <col min="4100" max="4100" width="31.140625" customWidth="1"/>
    <col min="4101" max="4101" width="20.42578125" bestFit="1" customWidth="1"/>
    <col min="4102" max="4102" width="11.42578125" bestFit="1" customWidth="1"/>
    <col min="4104" max="4104" width="16.140625" customWidth="1"/>
    <col min="4347" max="4347" width="7.5703125" customWidth="1"/>
    <col min="4348" max="4348" width="20.42578125" bestFit="1" customWidth="1"/>
    <col min="4349" max="4349" width="11.42578125" bestFit="1" customWidth="1"/>
    <col min="4350" max="4350" width="3" customWidth="1"/>
    <col min="4351" max="4351" width="20.42578125" bestFit="1" customWidth="1"/>
    <col min="4352" max="4352" width="23.5703125" customWidth="1"/>
    <col min="4353" max="4353" width="19.5703125" customWidth="1"/>
    <col min="4354" max="4354" width="16" customWidth="1"/>
    <col min="4355" max="4355" width="21.42578125" customWidth="1"/>
    <col min="4356" max="4356" width="31.140625" customWidth="1"/>
    <col min="4357" max="4357" width="20.42578125" bestFit="1" customWidth="1"/>
    <col min="4358" max="4358" width="11.42578125" bestFit="1" customWidth="1"/>
    <col min="4360" max="4360" width="16.140625" customWidth="1"/>
    <col min="4603" max="4603" width="7.5703125" customWidth="1"/>
    <col min="4604" max="4604" width="20.42578125" bestFit="1" customWidth="1"/>
    <col min="4605" max="4605" width="11.42578125" bestFit="1" customWidth="1"/>
    <col min="4606" max="4606" width="3" customWidth="1"/>
    <col min="4607" max="4607" width="20.42578125" bestFit="1" customWidth="1"/>
    <col min="4608" max="4608" width="23.5703125" customWidth="1"/>
    <col min="4609" max="4609" width="19.5703125" customWidth="1"/>
    <col min="4610" max="4610" width="16" customWidth="1"/>
    <col min="4611" max="4611" width="21.42578125" customWidth="1"/>
    <col min="4612" max="4612" width="31.140625" customWidth="1"/>
    <col min="4613" max="4613" width="20.42578125" bestFit="1" customWidth="1"/>
    <col min="4614" max="4614" width="11.42578125" bestFit="1" customWidth="1"/>
    <col min="4616" max="4616" width="16.140625" customWidth="1"/>
    <col min="4859" max="4859" width="7.5703125" customWidth="1"/>
    <col min="4860" max="4860" width="20.42578125" bestFit="1" customWidth="1"/>
    <col min="4861" max="4861" width="11.42578125" bestFit="1" customWidth="1"/>
    <col min="4862" max="4862" width="3" customWidth="1"/>
    <col min="4863" max="4863" width="20.42578125" bestFit="1" customWidth="1"/>
    <col min="4864" max="4864" width="23.5703125" customWidth="1"/>
    <col min="4865" max="4865" width="19.5703125" customWidth="1"/>
    <col min="4866" max="4866" width="16" customWidth="1"/>
    <col min="4867" max="4867" width="21.42578125" customWidth="1"/>
    <col min="4868" max="4868" width="31.140625" customWidth="1"/>
    <col min="4869" max="4869" width="20.42578125" bestFit="1" customWidth="1"/>
    <col min="4870" max="4870" width="11.42578125" bestFit="1" customWidth="1"/>
    <col min="4872" max="4872" width="16.140625" customWidth="1"/>
    <col min="5115" max="5115" width="7.5703125" customWidth="1"/>
    <col min="5116" max="5116" width="20.42578125" bestFit="1" customWidth="1"/>
    <col min="5117" max="5117" width="11.42578125" bestFit="1" customWidth="1"/>
    <col min="5118" max="5118" width="3" customWidth="1"/>
    <col min="5119" max="5119" width="20.42578125" bestFit="1" customWidth="1"/>
    <col min="5120" max="5120" width="23.5703125" customWidth="1"/>
    <col min="5121" max="5121" width="19.5703125" customWidth="1"/>
    <col min="5122" max="5122" width="16" customWidth="1"/>
    <col min="5123" max="5123" width="21.42578125" customWidth="1"/>
    <col min="5124" max="5124" width="31.140625" customWidth="1"/>
    <col min="5125" max="5125" width="20.42578125" bestFit="1" customWidth="1"/>
    <col min="5126" max="5126" width="11.42578125" bestFit="1" customWidth="1"/>
    <col min="5128" max="5128" width="16.140625" customWidth="1"/>
    <col min="5371" max="5371" width="7.5703125" customWidth="1"/>
    <col min="5372" max="5372" width="20.42578125" bestFit="1" customWidth="1"/>
    <col min="5373" max="5373" width="11.42578125" bestFit="1" customWidth="1"/>
    <col min="5374" max="5374" width="3" customWidth="1"/>
    <col min="5375" max="5375" width="20.42578125" bestFit="1" customWidth="1"/>
    <col min="5376" max="5376" width="23.5703125" customWidth="1"/>
    <col min="5377" max="5377" width="19.5703125" customWidth="1"/>
    <col min="5378" max="5378" width="16" customWidth="1"/>
    <col min="5379" max="5379" width="21.42578125" customWidth="1"/>
    <col min="5380" max="5380" width="31.140625" customWidth="1"/>
    <col min="5381" max="5381" width="20.42578125" bestFit="1" customWidth="1"/>
    <col min="5382" max="5382" width="11.42578125" bestFit="1" customWidth="1"/>
    <col min="5384" max="5384" width="16.140625" customWidth="1"/>
    <col min="5627" max="5627" width="7.5703125" customWidth="1"/>
    <col min="5628" max="5628" width="20.42578125" bestFit="1" customWidth="1"/>
    <col min="5629" max="5629" width="11.42578125" bestFit="1" customWidth="1"/>
    <col min="5630" max="5630" width="3" customWidth="1"/>
    <col min="5631" max="5631" width="20.42578125" bestFit="1" customWidth="1"/>
    <col min="5632" max="5632" width="23.5703125" customWidth="1"/>
    <col min="5633" max="5633" width="19.5703125" customWidth="1"/>
    <col min="5634" max="5634" width="16" customWidth="1"/>
    <col min="5635" max="5635" width="21.42578125" customWidth="1"/>
    <col min="5636" max="5636" width="31.140625" customWidth="1"/>
    <col min="5637" max="5637" width="20.42578125" bestFit="1" customWidth="1"/>
    <col min="5638" max="5638" width="11.42578125" bestFit="1" customWidth="1"/>
    <col min="5640" max="5640" width="16.140625" customWidth="1"/>
    <col min="5883" max="5883" width="7.5703125" customWidth="1"/>
    <col min="5884" max="5884" width="20.42578125" bestFit="1" customWidth="1"/>
    <col min="5885" max="5885" width="11.42578125" bestFit="1" customWidth="1"/>
    <col min="5886" max="5886" width="3" customWidth="1"/>
    <col min="5887" max="5887" width="20.42578125" bestFit="1" customWidth="1"/>
    <col min="5888" max="5888" width="23.5703125" customWidth="1"/>
    <col min="5889" max="5889" width="19.5703125" customWidth="1"/>
    <col min="5890" max="5890" width="16" customWidth="1"/>
    <col min="5891" max="5891" width="21.42578125" customWidth="1"/>
    <col min="5892" max="5892" width="31.140625" customWidth="1"/>
    <col min="5893" max="5893" width="20.42578125" bestFit="1" customWidth="1"/>
    <col min="5894" max="5894" width="11.42578125" bestFit="1" customWidth="1"/>
    <col min="5896" max="5896" width="16.140625" customWidth="1"/>
    <col min="6139" max="6139" width="7.5703125" customWidth="1"/>
    <col min="6140" max="6140" width="20.42578125" bestFit="1" customWidth="1"/>
    <col min="6141" max="6141" width="11.42578125" bestFit="1" customWidth="1"/>
    <col min="6142" max="6142" width="3" customWidth="1"/>
    <col min="6143" max="6143" width="20.42578125" bestFit="1" customWidth="1"/>
    <col min="6144" max="6144" width="23.5703125" customWidth="1"/>
    <col min="6145" max="6145" width="19.5703125" customWidth="1"/>
    <col min="6146" max="6146" width="16" customWidth="1"/>
    <col min="6147" max="6147" width="21.42578125" customWidth="1"/>
    <col min="6148" max="6148" width="31.140625" customWidth="1"/>
    <col min="6149" max="6149" width="20.42578125" bestFit="1" customWidth="1"/>
    <col min="6150" max="6150" width="11.42578125" bestFit="1" customWidth="1"/>
    <col min="6152" max="6152" width="16.140625" customWidth="1"/>
    <col min="6395" max="6395" width="7.5703125" customWidth="1"/>
    <col min="6396" max="6396" width="20.42578125" bestFit="1" customWidth="1"/>
    <col min="6397" max="6397" width="11.42578125" bestFit="1" customWidth="1"/>
    <col min="6398" max="6398" width="3" customWidth="1"/>
    <col min="6399" max="6399" width="20.42578125" bestFit="1" customWidth="1"/>
    <col min="6400" max="6400" width="23.5703125" customWidth="1"/>
    <col min="6401" max="6401" width="19.5703125" customWidth="1"/>
    <col min="6402" max="6402" width="16" customWidth="1"/>
    <col min="6403" max="6403" width="21.42578125" customWidth="1"/>
    <col min="6404" max="6404" width="31.140625" customWidth="1"/>
    <col min="6405" max="6405" width="20.42578125" bestFit="1" customWidth="1"/>
    <col min="6406" max="6406" width="11.42578125" bestFit="1" customWidth="1"/>
    <col min="6408" max="6408" width="16.140625" customWidth="1"/>
    <col min="6651" max="6651" width="7.5703125" customWidth="1"/>
    <col min="6652" max="6652" width="20.42578125" bestFit="1" customWidth="1"/>
    <col min="6653" max="6653" width="11.42578125" bestFit="1" customWidth="1"/>
    <col min="6654" max="6654" width="3" customWidth="1"/>
    <col min="6655" max="6655" width="20.42578125" bestFit="1" customWidth="1"/>
    <col min="6656" max="6656" width="23.5703125" customWidth="1"/>
    <col min="6657" max="6657" width="19.5703125" customWidth="1"/>
    <col min="6658" max="6658" width="16" customWidth="1"/>
    <col min="6659" max="6659" width="21.42578125" customWidth="1"/>
    <col min="6660" max="6660" width="31.140625" customWidth="1"/>
    <col min="6661" max="6661" width="20.42578125" bestFit="1" customWidth="1"/>
    <col min="6662" max="6662" width="11.42578125" bestFit="1" customWidth="1"/>
    <col min="6664" max="6664" width="16.140625" customWidth="1"/>
    <col min="6907" max="6907" width="7.5703125" customWidth="1"/>
    <col min="6908" max="6908" width="20.42578125" bestFit="1" customWidth="1"/>
    <col min="6909" max="6909" width="11.42578125" bestFit="1" customWidth="1"/>
    <col min="6910" max="6910" width="3" customWidth="1"/>
    <col min="6911" max="6911" width="20.42578125" bestFit="1" customWidth="1"/>
    <col min="6912" max="6912" width="23.5703125" customWidth="1"/>
    <col min="6913" max="6913" width="19.5703125" customWidth="1"/>
    <col min="6914" max="6914" width="16" customWidth="1"/>
    <col min="6915" max="6915" width="21.42578125" customWidth="1"/>
    <col min="6916" max="6916" width="31.140625" customWidth="1"/>
    <col min="6917" max="6917" width="20.42578125" bestFit="1" customWidth="1"/>
    <col min="6918" max="6918" width="11.42578125" bestFit="1" customWidth="1"/>
    <col min="6920" max="6920" width="16.140625" customWidth="1"/>
    <col min="7163" max="7163" width="7.5703125" customWidth="1"/>
    <col min="7164" max="7164" width="20.42578125" bestFit="1" customWidth="1"/>
    <col min="7165" max="7165" width="11.42578125" bestFit="1" customWidth="1"/>
    <col min="7166" max="7166" width="3" customWidth="1"/>
    <col min="7167" max="7167" width="20.42578125" bestFit="1" customWidth="1"/>
    <col min="7168" max="7168" width="23.5703125" customWidth="1"/>
    <col min="7169" max="7169" width="19.5703125" customWidth="1"/>
    <col min="7170" max="7170" width="16" customWidth="1"/>
    <col min="7171" max="7171" width="21.42578125" customWidth="1"/>
    <col min="7172" max="7172" width="31.140625" customWidth="1"/>
    <col min="7173" max="7173" width="20.42578125" bestFit="1" customWidth="1"/>
    <col min="7174" max="7174" width="11.42578125" bestFit="1" customWidth="1"/>
    <col min="7176" max="7176" width="16.140625" customWidth="1"/>
    <col min="7419" max="7419" width="7.5703125" customWidth="1"/>
    <col min="7420" max="7420" width="20.42578125" bestFit="1" customWidth="1"/>
    <col min="7421" max="7421" width="11.42578125" bestFit="1" customWidth="1"/>
    <col min="7422" max="7422" width="3" customWidth="1"/>
    <col min="7423" max="7423" width="20.42578125" bestFit="1" customWidth="1"/>
    <col min="7424" max="7424" width="23.5703125" customWidth="1"/>
    <col min="7425" max="7425" width="19.5703125" customWidth="1"/>
    <col min="7426" max="7426" width="16" customWidth="1"/>
    <col min="7427" max="7427" width="21.42578125" customWidth="1"/>
    <col min="7428" max="7428" width="31.140625" customWidth="1"/>
    <col min="7429" max="7429" width="20.42578125" bestFit="1" customWidth="1"/>
    <col min="7430" max="7430" width="11.42578125" bestFit="1" customWidth="1"/>
    <col min="7432" max="7432" width="16.140625" customWidth="1"/>
    <col min="7675" max="7675" width="7.5703125" customWidth="1"/>
    <col min="7676" max="7676" width="20.42578125" bestFit="1" customWidth="1"/>
    <col min="7677" max="7677" width="11.42578125" bestFit="1" customWidth="1"/>
    <col min="7678" max="7678" width="3" customWidth="1"/>
    <col min="7679" max="7679" width="20.42578125" bestFit="1" customWidth="1"/>
    <col min="7680" max="7680" width="23.5703125" customWidth="1"/>
    <col min="7681" max="7681" width="19.5703125" customWidth="1"/>
    <col min="7682" max="7682" width="16" customWidth="1"/>
    <col min="7683" max="7683" width="21.42578125" customWidth="1"/>
    <col min="7684" max="7684" width="31.140625" customWidth="1"/>
    <col min="7685" max="7685" width="20.42578125" bestFit="1" customWidth="1"/>
    <col min="7686" max="7686" width="11.42578125" bestFit="1" customWidth="1"/>
    <col min="7688" max="7688" width="16.140625" customWidth="1"/>
    <col min="7931" max="7931" width="7.5703125" customWidth="1"/>
    <col min="7932" max="7932" width="20.42578125" bestFit="1" customWidth="1"/>
    <col min="7933" max="7933" width="11.42578125" bestFit="1" customWidth="1"/>
    <col min="7934" max="7934" width="3" customWidth="1"/>
    <col min="7935" max="7935" width="20.42578125" bestFit="1" customWidth="1"/>
    <col min="7936" max="7936" width="23.5703125" customWidth="1"/>
    <col min="7937" max="7937" width="19.5703125" customWidth="1"/>
    <col min="7938" max="7938" width="16" customWidth="1"/>
    <col min="7939" max="7939" width="21.42578125" customWidth="1"/>
    <col min="7940" max="7940" width="31.140625" customWidth="1"/>
    <col min="7941" max="7941" width="20.42578125" bestFit="1" customWidth="1"/>
    <col min="7942" max="7942" width="11.42578125" bestFit="1" customWidth="1"/>
    <col min="7944" max="7944" width="16.140625" customWidth="1"/>
    <col min="8187" max="8187" width="7.5703125" customWidth="1"/>
    <col min="8188" max="8188" width="20.42578125" bestFit="1" customWidth="1"/>
    <col min="8189" max="8189" width="11.42578125" bestFit="1" customWidth="1"/>
    <col min="8190" max="8190" width="3" customWidth="1"/>
    <col min="8191" max="8191" width="20.42578125" bestFit="1" customWidth="1"/>
    <col min="8192" max="8192" width="23.5703125" customWidth="1"/>
    <col min="8193" max="8193" width="19.5703125" customWidth="1"/>
    <col min="8194" max="8194" width="16" customWidth="1"/>
    <col min="8195" max="8195" width="21.42578125" customWidth="1"/>
    <col min="8196" max="8196" width="31.140625" customWidth="1"/>
    <col min="8197" max="8197" width="20.42578125" bestFit="1" customWidth="1"/>
    <col min="8198" max="8198" width="11.42578125" bestFit="1" customWidth="1"/>
    <col min="8200" max="8200" width="16.140625" customWidth="1"/>
    <col min="8443" max="8443" width="7.5703125" customWidth="1"/>
    <col min="8444" max="8444" width="20.42578125" bestFit="1" customWidth="1"/>
    <col min="8445" max="8445" width="11.42578125" bestFit="1" customWidth="1"/>
    <col min="8446" max="8446" width="3" customWidth="1"/>
    <col min="8447" max="8447" width="20.42578125" bestFit="1" customWidth="1"/>
    <col min="8448" max="8448" width="23.5703125" customWidth="1"/>
    <col min="8449" max="8449" width="19.5703125" customWidth="1"/>
    <col min="8450" max="8450" width="16" customWidth="1"/>
    <col min="8451" max="8451" width="21.42578125" customWidth="1"/>
    <col min="8452" max="8452" width="31.140625" customWidth="1"/>
    <col min="8453" max="8453" width="20.42578125" bestFit="1" customWidth="1"/>
    <col min="8454" max="8454" width="11.42578125" bestFit="1" customWidth="1"/>
    <col min="8456" max="8456" width="16.140625" customWidth="1"/>
    <col min="8699" max="8699" width="7.5703125" customWidth="1"/>
    <col min="8700" max="8700" width="20.42578125" bestFit="1" customWidth="1"/>
    <col min="8701" max="8701" width="11.42578125" bestFit="1" customWidth="1"/>
    <col min="8702" max="8702" width="3" customWidth="1"/>
    <col min="8703" max="8703" width="20.42578125" bestFit="1" customWidth="1"/>
    <col min="8704" max="8704" width="23.5703125" customWidth="1"/>
    <col min="8705" max="8705" width="19.5703125" customWidth="1"/>
    <col min="8706" max="8706" width="16" customWidth="1"/>
    <col min="8707" max="8707" width="21.42578125" customWidth="1"/>
    <col min="8708" max="8708" width="31.140625" customWidth="1"/>
    <col min="8709" max="8709" width="20.42578125" bestFit="1" customWidth="1"/>
    <col min="8710" max="8710" width="11.42578125" bestFit="1" customWidth="1"/>
    <col min="8712" max="8712" width="16.140625" customWidth="1"/>
    <col min="8955" max="8955" width="7.5703125" customWidth="1"/>
    <col min="8956" max="8956" width="20.42578125" bestFit="1" customWidth="1"/>
    <col min="8957" max="8957" width="11.42578125" bestFit="1" customWidth="1"/>
    <col min="8958" max="8958" width="3" customWidth="1"/>
    <col min="8959" max="8959" width="20.42578125" bestFit="1" customWidth="1"/>
    <col min="8960" max="8960" width="23.5703125" customWidth="1"/>
    <col min="8961" max="8961" width="19.5703125" customWidth="1"/>
    <col min="8962" max="8962" width="16" customWidth="1"/>
    <col min="8963" max="8963" width="21.42578125" customWidth="1"/>
    <col min="8964" max="8964" width="31.140625" customWidth="1"/>
    <col min="8965" max="8965" width="20.42578125" bestFit="1" customWidth="1"/>
    <col min="8966" max="8966" width="11.42578125" bestFit="1" customWidth="1"/>
    <col min="8968" max="8968" width="16.140625" customWidth="1"/>
    <col min="9211" max="9211" width="7.5703125" customWidth="1"/>
    <col min="9212" max="9212" width="20.42578125" bestFit="1" customWidth="1"/>
    <col min="9213" max="9213" width="11.42578125" bestFit="1" customWidth="1"/>
    <col min="9214" max="9214" width="3" customWidth="1"/>
    <col min="9215" max="9215" width="20.42578125" bestFit="1" customWidth="1"/>
    <col min="9216" max="9216" width="23.5703125" customWidth="1"/>
    <col min="9217" max="9217" width="19.5703125" customWidth="1"/>
    <col min="9218" max="9218" width="16" customWidth="1"/>
    <col min="9219" max="9219" width="21.42578125" customWidth="1"/>
    <col min="9220" max="9220" width="31.140625" customWidth="1"/>
    <col min="9221" max="9221" width="20.42578125" bestFit="1" customWidth="1"/>
    <col min="9222" max="9222" width="11.42578125" bestFit="1" customWidth="1"/>
    <col min="9224" max="9224" width="16.140625" customWidth="1"/>
    <col min="9467" max="9467" width="7.5703125" customWidth="1"/>
    <col min="9468" max="9468" width="20.42578125" bestFit="1" customWidth="1"/>
    <col min="9469" max="9469" width="11.42578125" bestFit="1" customWidth="1"/>
    <col min="9470" max="9470" width="3" customWidth="1"/>
    <col min="9471" max="9471" width="20.42578125" bestFit="1" customWidth="1"/>
    <col min="9472" max="9472" width="23.5703125" customWidth="1"/>
    <col min="9473" max="9473" width="19.5703125" customWidth="1"/>
    <col min="9474" max="9474" width="16" customWidth="1"/>
    <col min="9475" max="9475" width="21.42578125" customWidth="1"/>
    <col min="9476" max="9476" width="31.140625" customWidth="1"/>
    <col min="9477" max="9477" width="20.42578125" bestFit="1" customWidth="1"/>
    <col min="9478" max="9478" width="11.42578125" bestFit="1" customWidth="1"/>
    <col min="9480" max="9480" width="16.140625" customWidth="1"/>
    <col min="9723" max="9723" width="7.5703125" customWidth="1"/>
    <col min="9724" max="9724" width="20.42578125" bestFit="1" customWidth="1"/>
    <col min="9725" max="9725" width="11.42578125" bestFit="1" customWidth="1"/>
    <col min="9726" max="9726" width="3" customWidth="1"/>
    <col min="9727" max="9727" width="20.42578125" bestFit="1" customWidth="1"/>
    <col min="9728" max="9728" width="23.5703125" customWidth="1"/>
    <col min="9729" max="9729" width="19.5703125" customWidth="1"/>
    <col min="9730" max="9730" width="16" customWidth="1"/>
    <col min="9731" max="9731" width="21.42578125" customWidth="1"/>
    <col min="9732" max="9732" width="31.140625" customWidth="1"/>
    <col min="9733" max="9733" width="20.42578125" bestFit="1" customWidth="1"/>
    <col min="9734" max="9734" width="11.42578125" bestFit="1" customWidth="1"/>
    <col min="9736" max="9736" width="16.140625" customWidth="1"/>
    <col min="9979" max="9979" width="7.5703125" customWidth="1"/>
    <col min="9980" max="9980" width="20.42578125" bestFit="1" customWidth="1"/>
    <col min="9981" max="9981" width="11.42578125" bestFit="1" customWidth="1"/>
    <col min="9982" max="9982" width="3" customWidth="1"/>
    <col min="9983" max="9983" width="20.42578125" bestFit="1" customWidth="1"/>
    <col min="9984" max="9984" width="23.5703125" customWidth="1"/>
    <col min="9985" max="9985" width="19.5703125" customWidth="1"/>
    <col min="9986" max="9986" width="16" customWidth="1"/>
    <col min="9987" max="9987" width="21.42578125" customWidth="1"/>
    <col min="9988" max="9988" width="31.140625" customWidth="1"/>
    <col min="9989" max="9989" width="20.42578125" bestFit="1" customWidth="1"/>
    <col min="9990" max="9990" width="11.42578125" bestFit="1" customWidth="1"/>
    <col min="9992" max="9992" width="16.140625" customWidth="1"/>
    <col min="10235" max="10235" width="7.5703125" customWidth="1"/>
    <col min="10236" max="10236" width="20.42578125" bestFit="1" customWidth="1"/>
    <col min="10237" max="10237" width="11.42578125" bestFit="1" customWidth="1"/>
    <col min="10238" max="10238" width="3" customWidth="1"/>
    <col min="10239" max="10239" width="20.42578125" bestFit="1" customWidth="1"/>
    <col min="10240" max="10240" width="23.5703125" customWidth="1"/>
    <col min="10241" max="10241" width="19.5703125" customWidth="1"/>
    <col min="10242" max="10242" width="16" customWidth="1"/>
    <col min="10243" max="10243" width="21.42578125" customWidth="1"/>
    <col min="10244" max="10244" width="31.140625" customWidth="1"/>
    <col min="10245" max="10245" width="20.42578125" bestFit="1" customWidth="1"/>
    <col min="10246" max="10246" width="11.42578125" bestFit="1" customWidth="1"/>
    <col min="10248" max="10248" width="16.140625" customWidth="1"/>
    <col min="10491" max="10491" width="7.5703125" customWidth="1"/>
    <col min="10492" max="10492" width="20.42578125" bestFit="1" customWidth="1"/>
    <col min="10493" max="10493" width="11.42578125" bestFit="1" customWidth="1"/>
    <col min="10494" max="10494" width="3" customWidth="1"/>
    <col min="10495" max="10495" width="20.42578125" bestFit="1" customWidth="1"/>
    <col min="10496" max="10496" width="23.5703125" customWidth="1"/>
    <col min="10497" max="10497" width="19.5703125" customWidth="1"/>
    <col min="10498" max="10498" width="16" customWidth="1"/>
    <col min="10499" max="10499" width="21.42578125" customWidth="1"/>
    <col min="10500" max="10500" width="31.140625" customWidth="1"/>
    <col min="10501" max="10501" width="20.42578125" bestFit="1" customWidth="1"/>
    <col min="10502" max="10502" width="11.42578125" bestFit="1" customWidth="1"/>
    <col min="10504" max="10504" width="16.140625" customWidth="1"/>
    <col min="10747" max="10747" width="7.5703125" customWidth="1"/>
    <col min="10748" max="10748" width="20.42578125" bestFit="1" customWidth="1"/>
    <col min="10749" max="10749" width="11.42578125" bestFit="1" customWidth="1"/>
    <col min="10750" max="10750" width="3" customWidth="1"/>
    <col min="10751" max="10751" width="20.42578125" bestFit="1" customWidth="1"/>
    <col min="10752" max="10752" width="23.5703125" customWidth="1"/>
    <col min="10753" max="10753" width="19.5703125" customWidth="1"/>
    <col min="10754" max="10754" width="16" customWidth="1"/>
    <col min="10755" max="10755" width="21.42578125" customWidth="1"/>
    <col min="10756" max="10756" width="31.140625" customWidth="1"/>
    <col min="10757" max="10757" width="20.42578125" bestFit="1" customWidth="1"/>
    <col min="10758" max="10758" width="11.42578125" bestFit="1" customWidth="1"/>
    <col min="10760" max="10760" width="16.140625" customWidth="1"/>
    <col min="11003" max="11003" width="7.5703125" customWidth="1"/>
    <col min="11004" max="11004" width="20.42578125" bestFit="1" customWidth="1"/>
    <col min="11005" max="11005" width="11.42578125" bestFit="1" customWidth="1"/>
    <col min="11006" max="11006" width="3" customWidth="1"/>
    <col min="11007" max="11007" width="20.42578125" bestFit="1" customWidth="1"/>
    <col min="11008" max="11008" width="23.5703125" customWidth="1"/>
    <col min="11009" max="11009" width="19.5703125" customWidth="1"/>
    <col min="11010" max="11010" width="16" customWidth="1"/>
    <col min="11011" max="11011" width="21.42578125" customWidth="1"/>
    <col min="11012" max="11012" width="31.140625" customWidth="1"/>
    <col min="11013" max="11013" width="20.42578125" bestFit="1" customWidth="1"/>
    <col min="11014" max="11014" width="11.42578125" bestFit="1" customWidth="1"/>
    <col min="11016" max="11016" width="16.140625" customWidth="1"/>
    <col min="11259" max="11259" width="7.5703125" customWidth="1"/>
    <col min="11260" max="11260" width="20.42578125" bestFit="1" customWidth="1"/>
    <col min="11261" max="11261" width="11.42578125" bestFit="1" customWidth="1"/>
    <col min="11262" max="11262" width="3" customWidth="1"/>
    <col min="11263" max="11263" width="20.42578125" bestFit="1" customWidth="1"/>
    <col min="11264" max="11264" width="23.5703125" customWidth="1"/>
    <col min="11265" max="11265" width="19.5703125" customWidth="1"/>
    <col min="11266" max="11266" width="16" customWidth="1"/>
    <col min="11267" max="11267" width="21.42578125" customWidth="1"/>
    <col min="11268" max="11268" width="31.140625" customWidth="1"/>
    <col min="11269" max="11269" width="20.42578125" bestFit="1" customWidth="1"/>
    <col min="11270" max="11270" width="11.42578125" bestFit="1" customWidth="1"/>
    <col min="11272" max="11272" width="16.140625" customWidth="1"/>
    <col min="11515" max="11515" width="7.5703125" customWidth="1"/>
    <col min="11516" max="11516" width="20.42578125" bestFit="1" customWidth="1"/>
    <col min="11517" max="11517" width="11.42578125" bestFit="1" customWidth="1"/>
    <col min="11518" max="11518" width="3" customWidth="1"/>
    <col min="11519" max="11519" width="20.42578125" bestFit="1" customWidth="1"/>
    <col min="11520" max="11520" width="23.5703125" customWidth="1"/>
    <col min="11521" max="11521" width="19.5703125" customWidth="1"/>
    <col min="11522" max="11522" width="16" customWidth="1"/>
    <col min="11523" max="11523" width="21.42578125" customWidth="1"/>
    <col min="11524" max="11524" width="31.140625" customWidth="1"/>
    <col min="11525" max="11525" width="20.42578125" bestFit="1" customWidth="1"/>
    <col min="11526" max="11526" width="11.42578125" bestFit="1" customWidth="1"/>
    <col min="11528" max="11528" width="16.140625" customWidth="1"/>
    <col min="11771" max="11771" width="7.5703125" customWidth="1"/>
    <col min="11772" max="11772" width="20.42578125" bestFit="1" customWidth="1"/>
    <col min="11773" max="11773" width="11.42578125" bestFit="1" customWidth="1"/>
    <col min="11774" max="11774" width="3" customWidth="1"/>
    <col min="11775" max="11775" width="20.42578125" bestFit="1" customWidth="1"/>
    <col min="11776" max="11776" width="23.5703125" customWidth="1"/>
    <col min="11777" max="11777" width="19.5703125" customWidth="1"/>
    <col min="11778" max="11778" width="16" customWidth="1"/>
    <col min="11779" max="11779" width="21.42578125" customWidth="1"/>
    <col min="11780" max="11780" width="31.140625" customWidth="1"/>
    <col min="11781" max="11781" width="20.42578125" bestFit="1" customWidth="1"/>
    <col min="11782" max="11782" width="11.42578125" bestFit="1" customWidth="1"/>
    <col min="11784" max="11784" width="16.140625" customWidth="1"/>
    <col min="12027" max="12027" width="7.5703125" customWidth="1"/>
    <col min="12028" max="12028" width="20.42578125" bestFit="1" customWidth="1"/>
    <col min="12029" max="12029" width="11.42578125" bestFit="1" customWidth="1"/>
    <col min="12030" max="12030" width="3" customWidth="1"/>
    <col min="12031" max="12031" width="20.42578125" bestFit="1" customWidth="1"/>
    <col min="12032" max="12032" width="23.5703125" customWidth="1"/>
    <col min="12033" max="12033" width="19.5703125" customWidth="1"/>
    <col min="12034" max="12034" width="16" customWidth="1"/>
    <col min="12035" max="12035" width="21.42578125" customWidth="1"/>
    <col min="12036" max="12036" width="31.140625" customWidth="1"/>
    <col min="12037" max="12037" width="20.42578125" bestFit="1" customWidth="1"/>
    <col min="12038" max="12038" width="11.42578125" bestFit="1" customWidth="1"/>
    <col min="12040" max="12040" width="16.140625" customWidth="1"/>
    <col min="12283" max="12283" width="7.5703125" customWidth="1"/>
    <col min="12284" max="12284" width="20.42578125" bestFit="1" customWidth="1"/>
    <col min="12285" max="12285" width="11.42578125" bestFit="1" customWidth="1"/>
    <col min="12286" max="12286" width="3" customWidth="1"/>
    <col min="12287" max="12287" width="20.42578125" bestFit="1" customWidth="1"/>
    <col min="12288" max="12288" width="23.5703125" customWidth="1"/>
    <col min="12289" max="12289" width="19.5703125" customWidth="1"/>
    <col min="12290" max="12290" width="16" customWidth="1"/>
    <col min="12291" max="12291" width="21.42578125" customWidth="1"/>
    <col min="12292" max="12292" width="31.140625" customWidth="1"/>
    <col min="12293" max="12293" width="20.42578125" bestFit="1" customWidth="1"/>
    <col min="12294" max="12294" width="11.42578125" bestFit="1" customWidth="1"/>
    <col min="12296" max="12296" width="16.140625" customWidth="1"/>
    <col min="12539" max="12539" width="7.5703125" customWidth="1"/>
    <col min="12540" max="12540" width="20.42578125" bestFit="1" customWidth="1"/>
    <col min="12541" max="12541" width="11.42578125" bestFit="1" customWidth="1"/>
    <col min="12542" max="12542" width="3" customWidth="1"/>
    <col min="12543" max="12543" width="20.42578125" bestFit="1" customWidth="1"/>
    <col min="12544" max="12544" width="23.5703125" customWidth="1"/>
    <col min="12545" max="12545" width="19.5703125" customWidth="1"/>
    <col min="12546" max="12546" width="16" customWidth="1"/>
    <col min="12547" max="12547" width="21.42578125" customWidth="1"/>
    <col min="12548" max="12548" width="31.140625" customWidth="1"/>
    <col min="12549" max="12549" width="20.42578125" bestFit="1" customWidth="1"/>
    <col min="12550" max="12550" width="11.42578125" bestFit="1" customWidth="1"/>
    <col min="12552" max="12552" width="16.140625" customWidth="1"/>
    <col min="12795" max="12795" width="7.5703125" customWidth="1"/>
    <col min="12796" max="12796" width="20.42578125" bestFit="1" customWidth="1"/>
    <col min="12797" max="12797" width="11.42578125" bestFit="1" customWidth="1"/>
    <col min="12798" max="12798" width="3" customWidth="1"/>
    <col min="12799" max="12799" width="20.42578125" bestFit="1" customWidth="1"/>
    <col min="12800" max="12800" width="23.5703125" customWidth="1"/>
    <col min="12801" max="12801" width="19.5703125" customWidth="1"/>
    <col min="12802" max="12802" width="16" customWidth="1"/>
    <col min="12803" max="12803" width="21.42578125" customWidth="1"/>
    <col min="12804" max="12804" width="31.140625" customWidth="1"/>
    <col min="12805" max="12805" width="20.42578125" bestFit="1" customWidth="1"/>
    <col min="12806" max="12806" width="11.42578125" bestFit="1" customWidth="1"/>
    <col min="12808" max="12808" width="16.140625" customWidth="1"/>
    <col min="13051" max="13051" width="7.5703125" customWidth="1"/>
    <col min="13052" max="13052" width="20.42578125" bestFit="1" customWidth="1"/>
    <col min="13053" max="13053" width="11.42578125" bestFit="1" customWidth="1"/>
    <col min="13054" max="13054" width="3" customWidth="1"/>
    <col min="13055" max="13055" width="20.42578125" bestFit="1" customWidth="1"/>
    <col min="13056" max="13056" width="23.5703125" customWidth="1"/>
    <col min="13057" max="13057" width="19.5703125" customWidth="1"/>
    <col min="13058" max="13058" width="16" customWidth="1"/>
    <col min="13059" max="13059" width="21.42578125" customWidth="1"/>
    <col min="13060" max="13060" width="31.140625" customWidth="1"/>
    <col min="13061" max="13061" width="20.42578125" bestFit="1" customWidth="1"/>
    <col min="13062" max="13062" width="11.42578125" bestFit="1" customWidth="1"/>
    <col min="13064" max="13064" width="16.140625" customWidth="1"/>
    <col min="13307" max="13307" width="7.5703125" customWidth="1"/>
    <col min="13308" max="13308" width="20.42578125" bestFit="1" customWidth="1"/>
    <col min="13309" max="13309" width="11.42578125" bestFit="1" customWidth="1"/>
    <col min="13310" max="13310" width="3" customWidth="1"/>
    <col min="13311" max="13311" width="20.42578125" bestFit="1" customWidth="1"/>
    <col min="13312" max="13312" width="23.5703125" customWidth="1"/>
    <col min="13313" max="13313" width="19.5703125" customWidth="1"/>
    <col min="13314" max="13314" width="16" customWidth="1"/>
    <col min="13315" max="13315" width="21.42578125" customWidth="1"/>
    <col min="13316" max="13316" width="31.140625" customWidth="1"/>
    <col min="13317" max="13317" width="20.42578125" bestFit="1" customWidth="1"/>
    <col min="13318" max="13318" width="11.42578125" bestFit="1" customWidth="1"/>
    <col min="13320" max="13320" width="16.140625" customWidth="1"/>
    <col min="13563" max="13563" width="7.5703125" customWidth="1"/>
    <col min="13564" max="13564" width="20.42578125" bestFit="1" customWidth="1"/>
    <col min="13565" max="13565" width="11.42578125" bestFit="1" customWidth="1"/>
    <col min="13566" max="13566" width="3" customWidth="1"/>
    <col min="13567" max="13567" width="20.42578125" bestFit="1" customWidth="1"/>
    <col min="13568" max="13568" width="23.5703125" customWidth="1"/>
    <col min="13569" max="13569" width="19.5703125" customWidth="1"/>
    <col min="13570" max="13570" width="16" customWidth="1"/>
    <col min="13571" max="13571" width="21.42578125" customWidth="1"/>
    <col min="13572" max="13572" width="31.140625" customWidth="1"/>
    <col min="13573" max="13573" width="20.42578125" bestFit="1" customWidth="1"/>
    <col min="13574" max="13574" width="11.42578125" bestFit="1" customWidth="1"/>
    <col min="13576" max="13576" width="16.140625" customWidth="1"/>
    <col min="13819" max="13819" width="7.5703125" customWidth="1"/>
    <col min="13820" max="13820" width="20.42578125" bestFit="1" customWidth="1"/>
    <col min="13821" max="13821" width="11.42578125" bestFit="1" customWidth="1"/>
    <col min="13822" max="13822" width="3" customWidth="1"/>
    <col min="13823" max="13823" width="20.42578125" bestFit="1" customWidth="1"/>
    <col min="13824" max="13824" width="23.5703125" customWidth="1"/>
    <col min="13825" max="13825" width="19.5703125" customWidth="1"/>
    <col min="13826" max="13826" width="16" customWidth="1"/>
    <col min="13827" max="13827" width="21.42578125" customWidth="1"/>
    <col min="13828" max="13828" width="31.140625" customWidth="1"/>
    <col min="13829" max="13829" width="20.42578125" bestFit="1" customWidth="1"/>
    <col min="13830" max="13830" width="11.42578125" bestFit="1" customWidth="1"/>
    <col min="13832" max="13832" width="16.140625" customWidth="1"/>
    <col min="14075" max="14075" width="7.5703125" customWidth="1"/>
    <col min="14076" max="14076" width="20.42578125" bestFit="1" customWidth="1"/>
    <col min="14077" max="14077" width="11.42578125" bestFit="1" customWidth="1"/>
    <col min="14078" max="14078" width="3" customWidth="1"/>
    <col min="14079" max="14079" width="20.42578125" bestFit="1" customWidth="1"/>
    <col min="14080" max="14080" width="23.5703125" customWidth="1"/>
    <col min="14081" max="14081" width="19.5703125" customWidth="1"/>
    <col min="14082" max="14082" width="16" customWidth="1"/>
    <col min="14083" max="14083" width="21.42578125" customWidth="1"/>
    <col min="14084" max="14084" width="31.140625" customWidth="1"/>
    <col min="14085" max="14085" width="20.42578125" bestFit="1" customWidth="1"/>
    <col min="14086" max="14086" width="11.42578125" bestFit="1" customWidth="1"/>
    <col min="14088" max="14088" width="16.140625" customWidth="1"/>
    <col min="14331" max="14331" width="7.5703125" customWidth="1"/>
    <col min="14332" max="14332" width="20.42578125" bestFit="1" customWidth="1"/>
    <col min="14333" max="14333" width="11.42578125" bestFit="1" customWidth="1"/>
    <col min="14334" max="14334" width="3" customWidth="1"/>
    <col min="14335" max="14335" width="20.42578125" bestFit="1" customWidth="1"/>
    <col min="14336" max="14336" width="23.5703125" customWidth="1"/>
    <col min="14337" max="14337" width="19.5703125" customWidth="1"/>
    <col min="14338" max="14338" width="16" customWidth="1"/>
    <col min="14339" max="14339" width="21.42578125" customWidth="1"/>
    <col min="14340" max="14340" width="31.140625" customWidth="1"/>
    <col min="14341" max="14341" width="20.42578125" bestFit="1" customWidth="1"/>
    <col min="14342" max="14342" width="11.42578125" bestFit="1" customWidth="1"/>
    <col min="14344" max="14344" width="16.140625" customWidth="1"/>
    <col min="14587" max="14587" width="7.5703125" customWidth="1"/>
    <col min="14588" max="14588" width="20.42578125" bestFit="1" customWidth="1"/>
    <col min="14589" max="14589" width="11.42578125" bestFit="1" customWidth="1"/>
    <col min="14590" max="14590" width="3" customWidth="1"/>
    <col min="14591" max="14591" width="20.42578125" bestFit="1" customWidth="1"/>
    <col min="14592" max="14592" width="23.5703125" customWidth="1"/>
    <col min="14593" max="14593" width="19.5703125" customWidth="1"/>
    <col min="14594" max="14594" width="16" customWidth="1"/>
    <col min="14595" max="14595" width="21.42578125" customWidth="1"/>
    <col min="14596" max="14596" width="31.140625" customWidth="1"/>
    <col min="14597" max="14597" width="20.42578125" bestFit="1" customWidth="1"/>
    <col min="14598" max="14598" width="11.42578125" bestFit="1" customWidth="1"/>
    <col min="14600" max="14600" width="16.140625" customWidth="1"/>
    <col min="14843" max="14843" width="7.5703125" customWidth="1"/>
    <col min="14844" max="14844" width="20.42578125" bestFit="1" customWidth="1"/>
    <col min="14845" max="14845" width="11.42578125" bestFit="1" customWidth="1"/>
    <col min="14846" max="14846" width="3" customWidth="1"/>
    <col min="14847" max="14847" width="20.42578125" bestFit="1" customWidth="1"/>
    <col min="14848" max="14848" width="23.5703125" customWidth="1"/>
    <col min="14849" max="14849" width="19.5703125" customWidth="1"/>
    <col min="14850" max="14850" width="16" customWidth="1"/>
    <col min="14851" max="14851" width="21.42578125" customWidth="1"/>
    <col min="14852" max="14852" width="31.140625" customWidth="1"/>
    <col min="14853" max="14853" width="20.42578125" bestFit="1" customWidth="1"/>
    <col min="14854" max="14854" width="11.42578125" bestFit="1" customWidth="1"/>
    <col min="14856" max="14856" width="16.140625" customWidth="1"/>
    <col min="15099" max="15099" width="7.5703125" customWidth="1"/>
    <col min="15100" max="15100" width="20.42578125" bestFit="1" customWidth="1"/>
    <col min="15101" max="15101" width="11.42578125" bestFit="1" customWidth="1"/>
    <col min="15102" max="15102" width="3" customWidth="1"/>
    <col min="15103" max="15103" width="20.42578125" bestFit="1" customWidth="1"/>
    <col min="15104" max="15104" width="23.5703125" customWidth="1"/>
    <col min="15105" max="15105" width="19.5703125" customWidth="1"/>
    <col min="15106" max="15106" width="16" customWidth="1"/>
    <col min="15107" max="15107" width="21.42578125" customWidth="1"/>
    <col min="15108" max="15108" width="31.140625" customWidth="1"/>
    <col min="15109" max="15109" width="20.42578125" bestFit="1" customWidth="1"/>
    <col min="15110" max="15110" width="11.42578125" bestFit="1" customWidth="1"/>
    <col min="15112" max="15112" width="16.140625" customWidth="1"/>
    <col min="15355" max="15355" width="7.5703125" customWidth="1"/>
    <col min="15356" max="15356" width="20.42578125" bestFit="1" customWidth="1"/>
    <col min="15357" max="15357" width="11.42578125" bestFit="1" customWidth="1"/>
    <col min="15358" max="15358" width="3" customWidth="1"/>
    <col min="15359" max="15359" width="20.42578125" bestFit="1" customWidth="1"/>
    <col min="15360" max="15360" width="23.5703125" customWidth="1"/>
    <col min="15361" max="15361" width="19.5703125" customWidth="1"/>
    <col min="15362" max="15362" width="16" customWidth="1"/>
    <col min="15363" max="15363" width="21.42578125" customWidth="1"/>
    <col min="15364" max="15364" width="31.140625" customWidth="1"/>
    <col min="15365" max="15365" width="20.42578125" bestFit="1" customWidth="1"/>
    <col min="15366" max="15366" width="11.42578125" bestFit="1" customWidth="1"/>
    <col min="15368" max="15368" width="16.140625" customWidth="1"/>
    <col min="15611" max="15611" width="7.5703125" customWidth="1"/>
    <col min="15612" max="15612" width="20.42578125" bestFit="1" customWidth="1"/>
    <col min="15613" max="15613" width="11.42578125" bestFit="1" customWidth="1"/>
    <col min="15614" max="15614" width="3" customWidth="1"/>
    <col min="15615" max="15615" width="20.42578125" bestFit="1" customWidth="1"/>
    <col min="15616" max="15616" width="23.5703125" customWidth="1"/>
    <col min="15617" max="15617" width="19.5703125" customWidth="1"/>
    <col min="15618" max="15618" width="16" customWidth="1"/>
    <col min="15619" max="15619" width="21.42578125" customWidth="1"/>
    <col min="15620" max="15620" width="31.140625" customWidth="1"/>
    <col min="15621" max="15621" width="20.42578125" bestFit="1" customWidth="1"/>
    <col min="15622" max="15622" width="11.42578125" bestFit="1" customWidth="1"/>
    <col min="15624" max="15624" width="16.140625" customWidth="1"/>
    <col min="15867" max="15867" width="7.5703125" customWidth="1"/>
    <col min="15868" max="15868" width="20.42578125" bestFit="1" customWidth="1"/>
    <col min="15869" max="15869" width="11.42578125" bestFit="1" customWidth="1"/>
    <col min="15870" max="15870" width="3" customWidth="1"/>
    <col min="15871" max="15871" width="20.42578125" bestFit="1" customWidth="1"/>
    <col min="15872" max="15872" width="23.5703125" customWidth="1"/>
    <col min="15873" max="15873" width="19.5703125" customWidth="1"/>
    <col min="15874" max="15874" width="16" customWidth="1"/>
    <col min="15875" max="15875" width="21.42578125" customWidth="1"/>
    <col min="15876" max="15876" width="31.140625" customWidth="1"/>
    <col min="15877" max="15877" width="20.42578125" bestFit="1" customWidth="1"/>
    <col min="15878" max="15878" width="11.42578125" bestFit="1" customWidth="1"/>
    <col min="15880" max="15880" width="16.140625" customWidth="1"/>
    <col min="16123" max="16123" width="7.5703125" customWidth="1"/>
    <col min="16124" max="16124" width="20.42578125" bestFit="1" customWidth="1"/>
    <col min="16125" max="16125" width="11.42578125" bestFit="1" customWidth="1"/>
    <col min="16126" max="16126" width="3" customWidth="1"/>
    <col min="16127" max="16127" width="20.42578125" bestFit="1" customWidth="1"/>
    <col min="16128" max="16128" width="23.5703125" customWidth="1"/>
    <col min="16129" max="16129" width="19.5703125" customWidth="1"/>
    <col min="16130" max="16130" width="16" customWidth="1"/>
    <col min="16131" max="16131" width="21.42578125" customWidth="1"/>
    <col min="16132" max="16132" width="31.140625" customWidth="1"/>
    <col min="16133" max="16133" width="20.42578125" bestFit="1" customWidth="1"/>
    <col min="16134" max="16134" width="11.42578125" bestFit="1" customWidth="1"/>
    <col min="16136" max="16136" width="16.140625" customWidth="1"/>
  </cols>
  <sheetData>
    <row r="1" spans="1:9">
      <c r="A1" s="50"/>
    </row>
    <row r="2" spans="1:9">
      <c r="A2" s="383" t="s">
        <v>252</v>
      </c>
      <c r="B2" s="51" t="s">
        <v>253</v>
      </c>
      <c r="C2" s="270" t="s">
        <v>254</v>
      </c>
      <c r="D2" s="383" t="s">
        <v>252</v>
      </c>
      <c r="E2" s="51" t="s">
        <v>255</v>
      </c>
      <c r="F2" s="270" t="s">
        <v>254</v>
      </c>
      <c r="G2" s="383" t="s">
        <v>252</v>
      </c>
      <c r="H2" s="51" t="s">
        <v>256</v>
      </c>
      <c r="I2" s="270" t="s">
        <v>254</v>
      </c>
    </row>
    <row r="3" spans="1:9">
      <c r="B3" s="235" t="s">
        <v>1034</v>
      </c>
      <c r="C3" s="270">
        <f>B32</f>
        <v>0.31066666666666665</v>
      </c>
      <c r="E3" s="235" t="str">
        <f>E27</f>
        <v>2M377</v>
      </c>
      <c r="F3" s="390">
        <f>E32</f>
        <v>0.29533333333333328</v>
      </c>
      <c r="H3" s="235" t="str">
        <f>H27</f>
        <v>4M74584</v>
      </c>
      <c r="I3" s="390">
        <f>H32</f>
        <v>0.29233333333333333</v>
      </c>
    </row>
    <row r="4" spans="1:9">
      <c r="B4" s="235" t="str">
        <f>C27</f>
        <v>CDM15512</v>
      </c>
      <c r="C4" s="270">
        <f>C32</f>
        <v>0.30599999999999999</v>
      </c>
      <c r="E4" s="235" t="str">
        <f>F27</f>
        <v>2M12261</v>
      </c>
      <c r="F4" s="390">
        <f>F32</f>
        <v>0.29033333333333333</v>
      </c>
      <c r="G4" s="303"/>
      <c r="H4" s="235" t="str">
        <f>I27</f>
        <v>4M71506</v>
      </c>
      <c r="I4" s="390">
        <f>I32</f>
        <v>0.29466666666666663</v>
      </c>
    </row>
    <row r="5" spans="1:9" ht="15.75" thickBot="1">
      <c r="B5" s="235" t="str">
        <f>D27</f>
        <v>CDM17473</v>
      </c>
      <c r="C5" s="270">
        <f>D32</f>
        <v>0.32900000000000001</v>
      </c>
      <c r="E5" s="235" t="str">
        <f>G27</f>
        <v>2M7284</v>
      </c>
      <c r="F5" s="390">
        <f>G32</f>
        <v>0.29666666666666663</v>
      </c>
      <c r="H5" s="304" t="str">
        <f>J27</f>
        <v>3M32758</v>
      </c>
      <c r="I5" s="390">
        <f>J32</f>
        <v>0.29666666666666663</v>
      </c>
    </row>
    <row r="6" spans="1:9" ht="15.75" customHeight="1" thickBot="1">
      <c r="B6" s="314" t="s">
        <v>257</v>
      </c>
      <c r="C6" s="315"/>
      <c r="E6" s="314" t="s">
        <v>258</v>
      </c>
      <c r="F6" s="315"/>
      <c r="H6" s="314" t="s">
        <v>259</v>
      </c>
      <c r="I6" s="315"/>
    </row>
    <row r="7" spans="1:9" ht="15.75" thickBot="1">
      <c r="B7" s="316" t="s">
        <v>260</v>
      </c>
      <c r="C7" s="389">
        <f>AVERAGE(C3:C5)</f>
        <v>0.31522222222222224</v>
      </c>
      <c r="E7" s="316" t="s">
        <v>260</v>
      </c>
      <c r="F7" s="389">
        <f>AVERAGE(F3:F5)</f>
        <v>0.29411111111111105</v>
      </c>
      <c r="G7" s="271"/>
      <c r="H7" s="316" t="s">
        <v>260</v>
      </c>
      <c r="I7" s="389">
        <f>AVERAGE(I3:I5)</f>
        <v>0.29455555555555551</v>
      </c>
    </row>
    <row r="8" spans="1:9">
      <c r="B8" s="388" t="s">
        <v>261</v>
      </c>
      <c r="C8" s="317">
        <f>STDEVA(C3:C5)</f>
        <v>1.2157911614040265E-2</v>
      </c>
      <c r="E8" s="388" t="s">
        <v>261</v>
      </c>
      <c r="F8" s="317">
        <f>STDEVA(F3:F5)</f>
        <v>3.3388842669592497E-3</v>
      </c>
      <c r="G8" s="272"/>
      <c r="H8" s="388" t="s">
        <v>261</v>
      </c>
      <c r="I8" s="317">
        <f>STDEVA(I3:I5)</f>
        <v>2.1688023662158871E-3</v>
      </c>
    </row>
    <row r="9" spans="1:9">
      <c r="B9" s="60" t="s">
        <v>237</v>
      </c>
      <c r="C9" s="318">
        <f>COUNT(C3:C5)</f>
        <v>3</v>
      </c>
      <c r="E9" s="60" t="s">
        <v>237</v>
      </c>
      <c r="F9" s="318">
        <f>COUNT(F3:F5)</f>
        <v>3</v>
      </c>
      <c r="G9" s="273"/>
      <c r="H9" s="60" t="s">
        <v>237</v>
      </c>
      <c r="I9" s="318">
        <f>COUNT(I3:I5)</f>
        <v>3</v>
      </c>
    </row>
    <row r="10" spans="1:9">
      <c r="B10" s="60" t="s">
        <v>238</v>
      </c>
      <c r="C10" s="319">
        <f>E21</f>
        <v>35142</v>
      </c>
      <c r="E10" s="60" t="s">
        <v>238</v>
      </c>
      <c r="F10" s="319">
        <f>E22</f>
        <v>69872</v>
      </c>
      <c r="G10" s="274"/>
      <c r="H10" s="60" t="s">
        <v>238</v>
      </c>
      <c r="I10" s="319">
        <f>E23</f>
        <v>98446</v>
      </c>
    </row>
    <row r="11" spans="1:9">
      <c r="B11" s="60" t="s">
        <v>239</v>
      </c>
      <c r="C11" s="320">
        <v>0.9</v>
      </c>
      <c r="E11" s="60" t="s">
        <v>239</v>
      </c>
      <c r="F11" s="320">
        <v>0.9</v>
      </c>
      <c r="G11" s="275"/>
      <c r="H11" s="60" t="s">
        <v>239</v>
      </c>
      <c r="I11" s="320">
        <v>0.9</v>
      </c>
    </row>
    <row r="12" spans="1:9" ht="12" customHeight="1">
      <c r="B12" s="60" t="s">
        <v>262</v>
      </c>
      <c r="C12" s="321">
        <f>TINV(0.1,C9-1)</f>
        <v>2.9199855803537269</v>
      </c>
      <c r="E12" s="60" t="s">
        <v>262</v>
      </c>
      <c r="F12" s="321">
        <f>TINV(0.1,F9-1)</f>
        <v>2.9199855803537269</v>
      </c>
      <c r="G12" s="276"/>
      <c r="H12" s="60" t="s">
        <v>262</v>
      </c>
      <c r="I12" s="321">
        <f>TINV(0.1,I9-1)</f>
        <v>2.9199855803537269</v>
      </c>
    </row>
    <row r="13" spans="1:9">
      <c r="B13" s="60" t="s">
        <v>241</v>
      </c>
      <c r="C13" s="322">
        <f>C12*SQRT(1-(C9/C10))*(C8/SQRT(C9))</f>
        <v>2.0495594639794189E-2</v>
      </c>
      <c r="E13" s="60" t="s">
        <v>241</v>
      </c>
      <c r="F13" s="322">
        <f>F12*SQRT(1-(F9/F10))*(F8/SQRT(F9))</f>
        <v>5.6287520947384409E-3</v>
      </c>
      <c r="G13" s="277"/>
      <c r="H13" s="60" t="s">
        <v>241</v>
      </c>
      <c r="I13" s="322">
        <f>I12*SQRT(1-(I9/I10))*(I8/SQRT(I9))</f>
        <v>3.6562294333455396E-3</v>
      </c>
    </row>
    <row r="14" spans="1:9" ht="22.5">
      <c r="B14" s="60" t="s">
        <v>242</v>
      </c>
      <c r="C14" s="323">
        <f>C7-C13</f>
        <v>0.29472662758242807</v>
      </c>
      <c r="E14" s="60" t="s">
        <v>242</v>
      </c>
      <c r="F14" s="323">
        <f>F7-F13</f>
        <v>0.28848235901637259</v>
      </c>
      <c r="G14" s="278"/>
      <c r="H14" s="60" t="s">
        <v>242</v>
      </c>
      <c r="I14" s="323">
        <f>I7-I13</f>
        <v>0.29089932612220998</v>
      </c>
    </row>
    <row r="15" spans="1:9" ht="22.5">
      <c r="B15" s="60" t="s">
        <v>244</v>
      </c>
      <c r="C15" s="323">
        <f>C7+C13</f>
        <v>0.3357178168620164</v>
      </c>
      <c r="E15" s="60" t="s">
        <v>244</v>
      </c>
      <c r="F15" s="323">
        <f>F7+F13</f>
        <v>0.2997398632058495</v>
      </c>
      <c r="G15" s="278"/>
      <c r="H15" s="60" t="s">
        <v>244</v>
      </c>
      <c r="I15" s="323">
        <f>I7+I13</f>
        <v>0.29821178498890105</v>
      </c>
    </row>
    <row r="16" spans="1:9">
      <c r="B16" s="60" t="s">
        <v>246</v>
      </c>
      <c r="C16" s="324">
        <v>0.1</v>
      </c>
      <c r="E16" s="60" t="s">
        <v>246</v>
      </c>
      <c r="F16" s="324">
        <v>0.1</v>
      </c>
      <c r="G16" s="271"/>
      <c r="H16" s="60" t="s">
        <v>246</v>
      </c>
      <c r="I16" s="324">
        <v>0.1</v>
      </c>
    </row>
    <row r="17" spans="1:10" ht="15.75" thickBot="1">
      <c r="B17" s="60" t="s">
        <v>263</v>
      </c>
      <c r="C17" s="324">
        <f>(((C15-C14)/2)/C7)*100%</f>
        <v>6.5019510665543706E-2</v>
      </c>
      <c r="E17" s="60" t="s">
        <v>263</v>
      </c>
      <c r="F17" s="324">
        <f>(((F15-F14)/2)/F7)*100%</f>
        <v>1.9138182415053304E-2</v>
      </c>
      <c r="G17" s="271"/>
      <c r="H17" s="60" t="s">
        <v>263</v>
      </c>
      <c r="I17" s="324">
        <f>(((I15-I14)/2)/I7)*100%</f>
        <v>1.2412698943836226E-2</v>
      </c>
    </row>
    <row r="18" spans="1:10" ht="15.75" thickBot="1">
      <c r="B18" s="325" t="s">
        <v>248</v>
      </c>
      <c r="C18" s="326" t="str">
        <f>IF(C17&lt;C16,"Precision OK","Precision not reached")</f>
        <v>Precision OK</v>
      </c>
      <c r="E18" s="325" t="s">
        <v>248</v>
      </c>
      <c r="F18" s="326" t="str">
        <f>IF(F17&lt;F16,"Precision OK","Precision not reached")</f>
        <v>Precision OK</v>
      </c>
      <c r="G18" s="279"/>
      <c r="H18" s="325" t="s">
        <v>248</v>
      </c>
      <c r="I18" s="326" t="str">
        <f>IF(I17&lt;I16,"Precision OK","Precision not reached")</f>
        <v>Precision OK</v>
      </c>
    </row>
    <row r="20" spans="1:10">
      <c r="B20" s="237" t="s">
        <v>264</v>
      </c>
      <c r="C20" s="305" t="s">
        <v>265</v>
      </c>
      <c r="E20" s="237" t="s">
        <v>266</v>
      </c>
      <c r="F20" s="238" t="s">
        <v>267</v>
      </c>
      <c r="G20" s="238" t="s">
        <v>1061</v>
      </c>
      <c r="H20" s="238"/>
      <c r="I20" s="238"/>
    </row>
    <row r="21" spans="1:10">
      <c r="B21" s="235" t="s">
        <v>268</v>
      </c>
      <c r="C21" s="235">
        <v>2018</v>
      </c>
      <c r="D21" s="383"/>
      <c r="E21">
        <f>'Database - main figures'!B9</f>
        <v>35142</v>
      </c>
      <c r="F21" s="282">
        <f>C7</f>
        <v>0.31522222222222224</v>
      </c>
      <c r="G21" s="464">
        <v>0.29499999999999998</v>
      </c>
      <c r="H21" s="238"/>
      <c r="I21" s="238"/>
    </row>
    <row r="22" spans="1:10">
      <c r="B22" s="383" t="s">
        <v>269</v>
      </c>
      <c r="C22" s="383">
        <v>2019</v>
      </c>
      <c r="D22" s="383"/>
      <c r="E22">
        <f>'Database - main figures'!B10</f>
        <v>69872</v>
      </c>
      <c r="F22" s="239">
        <f>F7</f>
        <v>0.29411111111111105</v>
      </c>
      <c r="G22" s="463">
        <f>F22</f>
        <v>0.29411111111111105</v>
      </c>
      <c r="H22" s="239"/>
      <c r="I22" s="239"/>
    </row>
    <row r="23" spans="1:10" ht="15.75" thickBot="1">
      <c r="B23" s="383" t="s">
        <v>270</v>
      </c>
      <c r="C23" s="383">
        <v>2020</v>
      </c>
      <c r="D23" s="383"/>
      <c r="E23">
        <f>'Database - main figures'!B11</f>
        <v>98446</v>
      </c>
      <c r="F23" s="239">
        <f>I7</f>
        <v>0.29455555555555551</v>
      </c>
      <c r="G23" s="463">
        <f>F23</f>
        <v>0.29455555555555551</v>
      </c>
      <c r="H23" s="239"/>
      <c r="I23" s="239"/>
    </row>
    <row r="24" spans="1:10" ht="15.75" thickBot="1">
      <c r="B24" s="241"/>
      <c r="C24" s="236" t="s">
        <v>271</v>
      </c>
      <c r="D24" s="236"/>
      <c r="E24" s="280">
        <f>E21+E22+E23</f>
        <v>203460</v>
      </c>
      <c r="F24" s="242"/>
      <c r="G24" s="281"/>
      <c r="H24" s="281"/>
      <c r="I24" s="281"/>
    </row>
    <row r="26" spans="1:10">
      <c r="B26" s="563" t="s">
        <v>249</v>
      </c>
      <c r="C26" s="564"/>
      <c r="D26" s="565"/>
      <c r="E26" s="538" t="s">
        <v>250</v>
      </c>
      <c r="F26" s="539"/>
      <c r="G26" s="540"/>
      <c r="H26" s="563" t="s">
        <v>251</v>
      </c>
      <c r="I26" s="564"/>
      <c r="J26" s="565"/>
    </row>
    <row r="27" spans="1:10">
      <c r="B27" s="259" t="s">
        <v>1034</v>
      </c>
      <c r="C27" s="259" t="s">
        <v>1035</v>
      </c>
      <c r="D27" s="259" t="s">
        <v>1036</v>
      </c>
      <c r="E27" s="330" t="s">
        <v>1038</v>
      </c>
      <c r="F27" s="330" t="s">
        <v>1040</v>
      </c>
      <c r="G27" s="330" t="s">
        <v>1049</v>
      </c>
      <c r="H27" s="259" t="s">
        <v>1042</v>
      </c>
      <c r="I27" s="259" t="s">
        <v>1045</v>
      </c>
      <c r="J27" s="328" t="s">
        <v>1047</v>
      </c>
    </row>
    <row r="28" spans="1:10">
      <c r="B28" s="259" t="s">
        <v>1037</v>
      </c>
      <c r="C28" s="259" t="s">
        <v>1044</v>
      </c>
      <c r="D28" s="259" t="s">
        <v>1051</v>
      </c>
      <c r="E28" s="330" t="s">
        <v>1039</v>
      </c>
      <c r="F28" s="330" t="s">
        <v>1041</v>
      </c>
      <c r="G28" s="330" t="s">
        <v>1050</v>
      </c>
      <c r="H28" s="259" t="s">
        <v>1043</v>
      </c>
      <c r="I28" s="259" t="s">
        <v>1046</v>
      </c>
      <c r="J28" s="259" t="s">
        <v>1048</v>
      </c>
    </row>
    <row r="29" spans="1:10">
      <c r="A29" s="298" t="s">
        <v>272</v>
      </c>
      <c r="B29" s="327">
        <v>0.315</v>
      </c>
      <c r="C29" s="328">
        <v>0.32400000000000001</v>
      </c>
      <c r="D29" s="328">
        <v>0.31900000000000001</v>
      </c>
      <c r="E29" s="329">
        <v>0.3</v>
      </c>
      <c r="F29" s="329">
        <v>0.30199999999999999</v>
      </c>
      <c r="G29" s="329">
        <v>0.29799999999999999</v>
      </c>
      <c r="H29" s="328">
        <v>0.30499999999999999</v>
      </c>
      <c r="I29" s="328">
        <v>0.312</v>
      </c>
      <c r="J29" s="328">
        <v>0.28599999999999998</v>
      </c>
    </row>
    <row r="30" spans="1:10">
      <c r="A30" s="298" t="s">
        <v>273</v>
      </c>
      <c r="B30" s="327">
        <v>0.29799999999999999</v>
      </c>
      <c r="C30" s="328">
        <v>0.29399999999999998</v>
      </c>
      <c r="D30" s="328">
        <v>0.32700000000000001</v>
      </c>
      <c r="E30" s="329">
        <v>0.29699999999999999</v>
      </c>
      <c r="F30" s="329">
        <v>0.29599999999999999</v>
      </c>
      <c r="G30" s="329">
        <v>0.30599999999999999</v>
      </c>
      <c r="H30" s="328">
        <v>0.29399999999999998</v>
      </c>
      <c r="I30" s="328">
        <v>0.28499999999999998</v>
      </c>
      <c r="J30" s="328">
        <v>0.313</v>
      </c>
    </row>
    <row r="31" spans="1:10">
      <c r="A31" s="298" t="s">
        <v>274</v>
      </c>
      <c r="B31" s="327">
        <v>0.31900000000000001</v>
      </c>
      <c r="C31" s="328">
        <v>0.3</v>
      </c>
      <c r="D31" s="328">
        <v>0.34100000000000003</v>
      </c>
      <c r="E31" s="329">
        <v>0.28899999999999998</v>
      </c>
      <c r="F31" s="329">
        <v>0.27300000000000002</v>
      </c>
      <c r="G31" s="329">
        <v>0.28599999999999998</v>
      </c>
      <c r="H31" s="328">
        <v>0.27800000000000002</v>
      </c>
      <c r="I31" s="328">
        <v>0.28699999999999998</v>
      </c>
      <c r="J31" s="328">
        <v>0.29099999999999998</v>
      </c>
    </row>
    <row r="32" spans="1:10">
      <c r="A32" s="298" t="s">
        <v>234</v>
      </c>
      <c r="B32" s="299">
        <f>AVERAGE(B29:B31)</f>
        <v>0.31066666666666665</v>
      </c>
      <c r="C32" s="299">
        <f t="shared" ref="C32:J32" si="0">AVERAGE(C29:C31)</f>
        <v>0.30599999999999999</v>
      </c>
      <c r="D32" s="299">
        <f>AVERAGE(D29:D31)</f>
        <v>0.32900000000000001</v>
      </c>
      <c r="E32" s="300">
        <f t="shared" si="0"/>
        <v>0.29533333333333328</v>
      </c>
      <c r="F32" s="300">
        <f>AVERAGE(F29:F31)</f>
        <v>0.29033333333333333</v>
      </c>
      <c r="G32" s="300">
        <f t="shared" si="0"/>
        <v>0.29666666666666663</v>
      </c>
      <c r="H32" s="299">
        <f t="shared" si="0"/>
        <v>0.29233333333333333</v>
      </c>
      <c r="I32" s="299">
        <f t="shared" si="0"/>
        <v>0.29466666666666663</v>
      </c>
      <c r="J32" s="299">
        <f t="shared" si="0"/>
        <v>0.29666666666666663</v>
      </c>
    </row>
    <row r="33" spans="1:10">
      <c r="A33" s="298" t="s">
        <v>261</v>
      </c>
      <c r="B33" s="301">
        <f>STDEVA(B29:B31)</f>
        <v>1.1150485789118498E-2</v>
      </c>
      <c r="C33" s="301">
        <f t="shared" ref="C33:J33" si="1">STDEVA(C29:C31)</f>
        <v>1.5874507866387558E-2</v>
      </c>
      <c r="D33" s="301">
        <f>STDEVA(D29:D31)</f>
        <v>1.1135528725660053E-2</v>
      </c>
      <c r="E33" s="302">
        <f t="shared" si="1"/>
        <v>5.686240703077332E-3</v>
      </c>
      <c r="F33" s="302">
        <f>STDEVA(F29:F31)</f>
        <v>1.530795000427336E-2</v>
      </c>
      <c r="G33" s="302">
        <f t="shared" si="1"/>
        <v>1.0066445913694341E-2</v>
      </c>
      <c r="H33" s="301">
        <f t="shared" si="1"/>
        <v>1.3576941236277517E-2</v>
      </c>
      <c r="I33" s="301">
        <f t="shared" si="1"/>
        <v>1.5044378795195691E-2</v>
      </c>
      <c r="J33" s="301">
        <f t="shared" si="1"/>
        <v>1.4364307617610175E-2</v>
      </c>
    </row>
  </sheetData>
  <mergeCells count="3">
    <mergeCell ref="B26:D26"/>
    <mergeCell ref="E26:G26"/>
    <mergeCell ref="H26:J26"/>
  </mergeCells>
  <conditionalFormatting sqref="C18">
    <cfRule type="containsText" dxfId="5" priority="13" operator="containsText" text="not">
      <formula>NOT(ISERROR(SEARCH("not",C18)))</formula>
    </cfRule>
    <cfRule type="containsText" dxfId="4" priority="14" operator="containsText" text="OK">
      <formula>NOT(ISERROR(SEARCH("OK",C18)))</formula>
    </cfRule>
  </conditionalFormatting>
  <conditionalFormatting sqref="F18:G18">
    <cfRule type="containsText" dxfId="3" priority="3" operator="containsText" text="not">
      <formula>NOT(ISERROR(SEARCH("not",F18)))</formula>
    </cfRule>
    <cfRule type="containsText" dxfId="2" priority="4" operator="containsText" text="OK">
      <formula>NOT(ISERROR(SEARCH("OK",F18)))</formula>
    </cfRule>
  </conditionalFormatting>
  <conditionalFormatting sqref="I18">
    <cfRule type="containsText" dxfId="1" priority="1" operator="containsText" text="not">
      <formula>NOT(ISERROR(SEARCH("not",I18)))</formula>
    </cfRule>
    <cfRule type="containsText" dxfId="0" priority="2" operator="containsText" text="OK">
      <formula>NOT(ISERROR(SEARCH("OK",I18)))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F6D4-CB9A-4B54-B0DF-9244142B56BB}">
  <dimension ref="A1:H29"/>
  <sheetViews>
    <sheetView topLeftCell="A5" workbookViewId="0">
      <selection activeCell="B14" sqref="B14"/>
    </sheetView>
  </sheetViews>
  <sheetFormatPr baseColWidth="10" defaultColWidth="11.42578125" defaultRowHeight="15"/>
  <cols>
    <col min="1" max="1" width="44.42578125" customWidth="1"/>
    <col min="2" max="2" width="15.42578125" bestFit="1" customWidth="1"/>
    <col min="3" max="3" width="18.85546875" customWidth="1"/>
    <col min="4" max="4" width="13.85546875" customWidth="1"/>
    <col min="5" max="5" width="19.42578125" customWidth="1"/>
    <col min="6" max="6" width="14.140625" customWidth="1"/>
    <col min="7" max="7" width="15.42578125" customWidth="1"/>
  </cols>
  <sheetData>
    <row r="1" spans="1:8" ht="28.5" customHeight="1">
      <c r="A1" s="232" t="s">
        <v>275</v>
      </c>
    </row>
    <row r="2" spans="1:8" ht="14.25" customHeight="1">
      <c r="A2" s="232" t="s">
        <v>276</v>
      </c>
    </row>
    <row r="3" spans="1:8">
      <c r="A3" s="232" t="s">
        <v>275</v>
      </c>
    </row>
    <row r="4" spans="1:8">
      <c r="A4" s="232" t="s">
        <v>276</v>
      </c>
    </row>
    <row r="5" spans="1:8">
      <c r="A5" s="232"/>
    </row>
    <row r="6" spans="1:8">
      <c r="A6" s="8" t="s">
        <v>277</v>
      </c>
      <c r="B6" s="8"/>
      <c r="C6" s="7"/>
    </row>
    <row r="7" spans="1:8">
      <c r="A7" s="234" t="s">
        <v>278</v>
      </c>
      <c r="B7" s="234" t="s">
        <v>70</v>
      </c>
      <c r="C7" s="234" t="s">
        <v>279</v>
      </c>
    </row>
    <row r="8" spans="1:8">
      <c r="A8" t="s">
        <v>280</v>
      </c>
      <c r="B8" s="246">
        <f>SUM(B9:B11)</f>
        <v>203460</v>
      </c>
      <c r="C8" t="s">
        <v>281</v>
      </c>
    </row>
    <row r="9" spans="1:8">
      <c r="A9" t="s">
        <v>282</v>
      </c>
      <c r="B9" s="251">
        <f>'[1]Database - main figures'!$B$7</f>
        <v>35142</v>
      </c>
      <c r="C9" t="s">
        <v>281</v>
      </c>
    </row>
    <row r="10" spans="1:8">
      <c r="A10" t="s">
        <v>283</v>
      </c>
      <c r="B10" s="247">
        <f>'[1]Database - main figures'!$B$8</f>
        <v>69872</v>
      </c>
      <c r="C10" t="s">
        <v>281</v>
      </c>
    </row>
    <row r="11" spans="1:8">
      <c r="A11" t="s">
        <v>284</v>
      </c>
      <c r="B11" s="247">
        <f>'[1]Database - main figures'!$B$9</f>
        <v>98446</v>
      </c>
      <c r="C11" t="s">
        <v>281</v>
      </c>
    </row>
    <row r="12" spans="1:8">
      <c r="A12" t="s">
        <v>285</v>
      </c>
      <c r="B12" s="286">
        <v>0</v>
      </c>
      <c r="C12" t="s">
        <v>281</v>
      </c>
    </row>
    <row r="13" spans="1:8">
      <c r="A13" t="s">
        <v>286</v>
      </c>
      <c r="B13" s="247">
        <v>197241</v>
      </c>
      <c r="C13" t="s">
        <v>287</v>
      </c>
      <c r="H13" s="245"/>
    </row>
    <row r="14" spans="1:8">
      <c r="A14" t="s">
        <v>112</v>
      </c>
      <c r="B14" s="248">
        <f>B8/B13</f>
        <v>1.0315299557394253</v>
      </c>
      <c r="C14" t="s">
        <v>31</v>
      </c>
    </row>
    <row r="15" spans="1:8">
      <c r="F15" s="444"/>
      <c r="G15" s="445" t="s">
        <v>294</v>
      </c>
    </row>
    <row r="16" spans="1:8">
      <c r="B16" s="453"/>
      <c r="F16" s="446" t="str">
        <f>C18</f>
        <v>2018-2019</v>
      </c>
      <c r="G16" s="448">
        <v>3</v>
      </c>
    </row>
    <row r="17" spans="1:8">
      <c r="A17" s="454" t="s">
        <v>288</v>
      </c>
      <c r="B17" s="455"/>
      <c r="C17" s="455" t="s">
        <v>289</v>
      </c>
      <c r="D17" s="330" t="s">
        <v>290</v>
      </c>
      <c r="F17" s="446" t="str">
        <f>C19</f>
        <v>2019-2020</v>
      </c>
      <c r="G17" s="448">
        <f>3*D19/(SUM(D19+E20))</f>
        <v>3</v>
      </c>
    </row>
    <row r="18" spans="1:8">
      <c r="A18" s="250">
        <v>43255</v>
      </c>
      <c r="B18" s="456">
        <f>A18+364</f>
        <v>43619</v>
      </c>
      <c r="C18" s="457" t="s">
        <v>291</v>
      </c>
      <c r="D18" s="458">
        <f>B9</f>
        <v>35142</v>
      </c>
      <c r="F18" s="446" t="str">
        <f>C20</f>
        <v>2020-2021</v>
      </c>
      <c r="G18" s="448">
        <f>3*D20/(SUM(D20+E21))</f>
        <v>3</v>
      </c>
    </row>
    <row r="19" spans="1:8">
      <c r="A19" s="456">
        <f>B18+1</f>
        <v>43620</v>
      </c>
      <c r="B19" s="456">
        <f>A19+365</f>
        <v>43985</v>
      </c>
      <c r="C19" s="457" t="s">
        <v>292</v>
      </c>
      <c r="D19" s="458">
        <f>B10</f>
        <v>69872</v>
      </c>
      <c r="F19" s="447" t="s">
        <v>1026</v>
      </c>
      <c r="G19" s="449">
        <f>ROUNDDOWN(SUM(G16:G18),0)</f>
        <v>9</v>
      </c>
    </row>
    <row r="20" spans="1:8">
      <c r="A20" s="456">
        <f>B19+1</f>
        <v>43986</v>
      </c>
      <c r="B20" s="456">
        <f>A20+364</f>
        <v>44350</v>
      </c>
      <c r="C20" s="457" t="s">
        <v>293</v>
      </c>
      <c r="D20" s="459">
        <f>B11</f>
        <v>98446</v>
      </c>
      <c r="F20" s="240"/>
      <c r="G20" s="240"/>
      <c r="H20" s="240"/>
    </row>
    <row r="21" spans="1:8">
      <c r="A21" s="330"/>
      <c r="B21" s="330"/>
      <c r="C21" s="457" t="s">
        <v>68</v>
      </c>
      <c r="D21" s="460">
        <f>SUM(D18:D20)</f>
        <v>203460</v>
      </c>
      <c r="E21" s="249"/>
      <c r="F21" s="240"/>
      <c r="G21" s="240"/>
      <c r="H21" s="240"/>
    </row>
    <row r="22" spans="1:8" ht="17.25">
      <c r="B22" s="453"/>
      <c r="E22" s="245"/>
      <c r="F22" s="244"/>
      <c r="G22" s="244"/>
    </row>
    <row r="23" spans="1:8">
      <c r="E23" s="245"/>
    </row>
    <row r="26" spans="1:8">
      <c r="E26" s="240"/>
    </row>
    <row r="27" spans="1:8">
      <c r="E27" s="240"/>
    </row>
    <row r="28" spans="1:8">
      <c r="E28" s="240"/>
    </row>
    <row r="29" spans="1:8">
      <c r="E29" s="2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VCU calculation</vt:lpstr>
      <vt:lpstr>Tableau suivi ECOEYE</vt:lpstr>
      <vt:lpstr>sample size CPA1</vt:lpstr>
      <vt:lpstr>Ex-Ante Comparaison</vt:lpstr>
      <vt:lpstr>MP5 Monitoring surveys</vt:lpstr>
      <vt:lpstr>MP5 stoves efficiency </vt:lpstr>
      <vt:lpstr>Database - main figures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Jokhanan TOE</cp:lastModifiedBy>
  <cp:revision/>
  <dcterms:created xsi:type="dcterms:W3CDTF">2018-07-01T07:08:21Z</dcterms:created>
  <dcterms:modified xsi:type="dcterms:W3CDTF">2024-10-02T11:00:36Z</dcterms:modified>
  <cp:category/>
  <cp:contentStatus/>
</cp:coreProperties>
</file>
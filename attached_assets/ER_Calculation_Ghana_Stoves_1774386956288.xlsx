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R Calculation" sheetId="3" state="visible" r:id="rId3"/>
    <sheet xmlns:r="http://schemas.openxmlformats.org/officeDocument/2006/relationships" name="Vintage Table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212121"/>
      <sz val="9"/>
    </font>
    <font>
      <name val="Calibri"/>
      <color rgb="00212121"/>
      <sz val="9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555555"/>
      <sz val="8"/>
    </font>
    <font>
      <name val="Calibri"/>
      <sz val="9"/>
    </font>
    <font>
      <name val="Calibri"/>
      <b val="1"/>
      <sz val="9"/>
    </font>
    <font>
      <name val="Calibri"/>
      <color rgb="00212121"/>
      <sz val="8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388E3C"/>
        <bgColor rgb="00388E3C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4" fontId="10" fillId="5" borderId="1" applyAlignment="1" pivotButton="0" quotePrefix="0" xfId="0">
      <alignment horizontal="right" vertical="center"/>
    </xf>
    <xf numFmtId="4" fontId="11" fillId="0" borderId="1" pivotButton="0" quotePrefix="0" xfId="0"/>
    <xf numFmtId="0" fontId="7" fillId="3" borderId="0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 wrapText="1"/>
    </xf>
    <xf numFmtId="4" fontId="3" fillId="0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right" vertical="center" wrapText="1"/>
    </xf>
    <xf numFmtId="4" fontId="3" fillId="4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EX-ANTE EMISSION REDUCTION CALCULATION</t>
        </is>
      </c>
    </row>
    <row r="2">
      <c r="A2" s="2" t="inlineStr">
        <is>
          <t>Crediting Period — Projected ERs</t>
        </is>
      </c>
    </row>
    <row r="4">
      <c r="A4" s="3" t="inlineStr">
        <is>
          <t>Project name</t>
        </is>
      </c>
      <c r="B4" s="4" t="inlineStr">
        <is>
          <t>Ghana Stoves</t>
        </is>
      </c>
    </row>
    <row r="5">
      <c r="A5" s="3" t="inlineStr">
        <is>
          <t>Standard</t>
        </is>
      </c>
      <c r="B5" s="4" t="inlineStr">
        <is>
          <t>Gold Standard</t>
        </is>
      </c>
    </row>
    <row r="6">
      <c r="A6" s="3" t="inlineStr">
        <is>
          <t>Methodology</t>
        </is>
      </c>
      <c r="B6" s="4" t="inlineStr">
        <is>
          <t>TPDDTEC</t>
        </is>
      </c>
    </row>
    <row r="7">
      <c r="A7" s="3" t="inlineStr">
        <is>
          <t>Host country</t>
        </is>
      </c>
      <c r="B7" s="4" t="inlineStr"/>
    </row>
    <row r="8">
      <c r="A8" s="3" t="inlineStr">
        <is>
          <t>Baseline fuel</t>
        </is>
      </c>
      <c r="B8" s="4" t="inlineStr"/>
    </row>
    <row r="9">
      <c r="A9" s="3" t="inlineStr">
        <is>
          <t>Project fuel</t>
        </is>
      </c>
      <c r="B9" s="4" t="inlineStr"/>
    </row>
    <row r="10">
      <c r="A10" s="3" t="inlineStr">
        <is>
          <t>Crediting period start</t>
        </is>
      </c>
      <c r="B10" s="4" t="inlineStr">
        <is>
          <t>2026</t>
        </is>
      </c>
    </row>
    <row r="11">
      <c r="A11" s="3" t="inlineStr">
        <is>
          <t>Crediting period length</t>
        </is>
      </c>
      <c r="B11" s="4" t="inlineStr">
        <is>
          <t>7 years</t>
        </is>
      </c>
    </row>
    <row r="12">
      <c r="A12" s="3" t="inlineStr">
        <is>
          <t>Crediting period end</t>
        </is>
      </c>
      <c r="B12" s="4" t="inlineStr">
        <is>
          <t>2032</t>
        </is>
      </c>
    </row>
    <row r="13">
      <c r="A13" s="3" t="inlineStr">
        <is>
          <t>Scale</t>
        </is>
      </c>
      <c r="B13" s="4" t="inlineStr"/>
    </row>
    <row r="14">
      <c r="A14" s="3" t="inlineStr">
        <is>
          <t>Document type</t>
        </is>
      </c>
      <c r="B14" s="4" t="inlineStr">
        <is>
          <t>Project Design Document (PDD) / VPA-DD</t>
        </is>
      </c>
    </row>
    <row r="15">
      <c r="A15" s="3" t="inlineStr">
        <is>
          <t>Calculation generated</t>
        </is>
      </c>
      <c r="B15" s="4" t="inlineStr">
        <is>
          <t>2026-03-24 17:43 UTC</t>
        </is>
      </c>
    </row>
    <row r="16">
      <c r="A16" s="3" t="inlineStr">
        <is>
          <t>CarbonGPT version</t>
        </is>
      </c>
      <c r="B16" s="4" t="inlineStr">
        <is>
          <t>1.0</t>
        </is>
      </c>
    </row>
    <row r="19">
      <c r="A19" s="5" t="inlineStr">
        <is>
          <t>AUDITOR / VALIDATOR NOTES</t>
        </is>
      </c>
    </row>
    <row r="20">
      <c r="A20" s="6" t="inlineStr">
        <is>
          <t xml:space="preserve">  •  All input parameters are consolidated in the 'Parameters' tab.</t>
        </is>
      </c>
    </row>
    <row r="21">
      <c r="A21" s="6" t="inlineStr">
        <is>
          <t xml:space="preserve">  •  Every formula in 'ER Calculation' and 'Vintage Table' references the Parameters tab directly — no hard-coded values.</t>
        </is>
      </c>
    </row>
    <row r="22">
      <c r="A22" s="6" t="inlineStr">
        <is>
          <t xml:space="preserve">  •  fNRB is applied exclusively to the CO₂ term of baseline and project emissions (TPDDTEC v4.0 Eq. 1).</t>
        </is>
      </c>
    </row>
    <row r="23">
      <c r="A23" s="6" t="inlineStr">
        <is>
          <t xml:space="preserve">  •  For Method 3 (fuel switch), fNRB is not applied to project emissions.</t>
        </is>
      </c>
    </row>
    <row r="24">
      <c r="A24" s="6" t="inlineStr">
        <is>
          <t xml:space="preserve">  •  Leakage deduction is applied as prescribed in the applicable methodology.</t>
        </is>
      </c>
    </row>
    <row r="25">
      <c r="A25" s="6" t="inlineStr">
        <is>
          <t xml:space="preserve">  •  Conservativeness notes are provided for each parameter in the Parameters tab.</t>
        </is>
      </c>
    </row>
    <row r="26">
      <c r="A26" s="6" t="inlineStr">
        <is>
          <t xml:space="preserve">  •  Vintage allocation follows calendar-year boundaries. See 'Vintage Table' tab.</t>
        </is>
      </c>
    </row>
    <row r="27">
      <c r="A27" s="6" t="inlineStr">
        <is>
          <t xml:space="preserve">  •  Sensitivity analysis is available in the 'Sensitivity' tab.</t>
        </is>
      </c>
    </row>
  </sheetData>
  <mergeCells count="11">
    <mergeCell ref="A20:B20"/>
    <mergeCell ref="A21:B21"/>
    <mergeCell ref="A2:B2"/>
    <mergeCell ref="A24:B24"/>
    <mergeCell ref="A26:B26"/>
    <mergeCell ref="A25:B25"/>
    <mergeCell ref="A19:B19"/>
    <mergeCell ref="A1:B1"/>
    <mergeCell ref="A23:B23"/>
    <mergeCell ref="A27:B2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4" customWidth="1" min="4" max="4"/>
    <col width="42" customWidth="1" min="5" max="5"/>
    <col width="8" customWidth="1" min="6" max="6"/>
    <col width="48" customWidth="1" min="7" max="7"/>
  </cols>
  <sheetData>
    <row r="1">
      <c r="A1" s="7" t="inlineStr">
        <is>
          <t>PARAMETERS — EX-ANTE FIXED VALUES</t>
        </is>
      </c>
    </row>
    <row r="2">
      <c r="A2" s="8" t="inlineStr">
        <is>
          <t>All parameters in this tab are fixed ex-ante. Modify values here — formulas in other tabs update automatically.</t>
        </is>
      </c>
    </row>
    <row r="4">
      <c r="A4" s="9" t="inlineStr">
        <is>
          <t>Symbol</t>
        </is>
      </c>
      <c r="B4" s="9" t="inlineStr">
        <is>
          <t>Parameter name</t>
        </is>
      </c>
      <c r="C4" s="9" t="inlineStr">
        <is>
          <t>Value</t>
        </is>
      </c>
      <c r="D4" s="9" t="inlineStr">
        <is>
          <t>Unit</t>
        </is>
      </c>
      <c r="E4" s="9" t="inlineStr">
        <is>
          <t>Source / Reference</t>
        </is>
      </c>
      <c r="F4" s="9" t="inlineStr">
        <is>
          <t>Tier</t>
        </is>
      </c>
      <c r="G4" s="9" t="inlineStr">
        <is>
          <t>Conservativeness justification</t>
        </is>
      </c>
    </row>
    <row r="5">
      <c r="A5" s="10" t="inlineStr">
        <is>
          <t>SFC_b</t>
        </is>
      </c>
      <c r="B5" s="4" t="inlineStr">
        <is>
          <t>Baseline specific fuel consumption</t>
        </is>
      </c>
      <c r="C5" s="11" t="n">
        <v>2.5</v>
      </c>
      <c r="D5" s="4" t="inlineStr">
        <is>
          <t>t/device/yr</t>
        </is>
      </c>
      <c r="E5" s="4" t="inlineStr">
        <is>
          <t>Kitchen Performance Test (KPT) or methodology default</t>
        </is>
      </c>
      <c r="F5" s="12" t="inlineStr">
        <is>
          <t>2</t>
        </is>
      </c>
      <c r="G5" s="4" t="inlineStr">
        <is>
          <t>Conservative lower bound applied</t>
        </is>
      </c>
    </row>
    <row r="6">
      <c r="A6" s="13" t="inlineStr">
        <is>
          <t>SFC_p</t>
        </is>
      </c>
      <c r="B6" s="6" t="inlineStr">
        <is>
          <t>Project specific fuel consumption</t>
        </is>
      </c>
      <c r="C6" s="14" t="n">
        <v>0.3175</v>
      </c>
      <c r="D6" s="6" t="inlineStr">
        <is>
          <t>t/device/yr</t>
        </is>
      </c>
      <c r="E6" s="6" t="inlineStr">
        <is>
          <t>Kitchen Performance Test (KPT)</t>
        </is>
      </c>
      <c r="F6" s="15" t="inlineStr">
        <is>
          <t>2</t>
        </is>
      </c>
      <c r="G6" s="6" t="inlineStr">
        <is>
          <t>Upper-bound KPT result used → conservative</t>
        </is>
      </c>
    </row>
    <row r="7">
      <c r="A7" s="10" t="inlineStr">
        <is>
          <t>CF</t>
        </is>
      </c>
      <c r="B7" s="4" t="inlineStr">
        <is>
          <t>Charcoal-to-wood conversion factor</t>
        </is>
      </c>
      <c r="C7" s="11" t="n">
        <v>4</v>
      </c>
      <c r="D7" s="4" t="inlineStr">
        <is>
          <t>kg wood/kg charcoal</t>
        </is>
      </c>
      <c r="E7" s="4" t="inlineStr">
        <is>
          <t>TPDDTEC v4.0, §4.2 / national charcoal production studies</t>
        </is>
      </c>
      <c r="F7" s="12" t="inlineStr">
        <is>
          <t>2</t>
        </is>
      </c>
      <c r="G7" s="4" t="inlineStr">
        <is>
          <t>Conservative conversion; higher CF → higher baseline</t>
        </is>
      </c>
    </row>
    <row r="8">
      <c r="A8" s="13" t="inlineStr">
        <is>
          <t>NCV_b</t>
        </is>
      </c>
      <c r="B8" s="6" t="inlineStr">
        <is>
          <t>Net calorific value — baseline fuel</t>
        </is>
      </c>
      <c r="C8" s="14" t="n">
        <v>15.6</v>
      </c>
      <c r="D8" s="6" t="inlineStr">
        <is>
          <t>TJ/Gg</t>
        </is>
      </c>
      <c r="E8" s="6" t="inlineStr">
        <is>
          <t>IPCC 2006, Vol. 2, Ch. 1, Table 1.2</t>
        </is>
      </c>
      <c r="F8" s="15" t="inlineStr">
        <is>
          <t>1</t>
        </is>
      </c>
      <c r="G8" s="6" t="inlineStr">
        <is>
          <t>IPCC default; lower NCV → lower baseline → conservative</t>
        </is>
      </c>
    </row>
    <row r="9">
      <c r="A9" s="10" t="inlineStr">
        <is>
          <t>fNRB,y</t>
        </is>
      </c>
      <c r="B9" s="4" t="inlineStr">
        <is>
          <t>Fraction of non-renewable biomass</t>
        </is>
      </c>
      <c r="C9" s="11" t="n">
        <v>0.36</v>
      </c>
      <c r="D9" s="4" t="inlineStr">
        <is>
          <t>fraction</t>
        </is>
      </c>
      <c r="E9" s="4" t="inlineStr">
        <is>
          <t>Country study / IPCC default (TPDDTEC v4.0 §4.3)</t>
        </is>
      </c>
      <c r="F9" s="12" t="inlineStr">
        <is>
          <t>2</t>
        </is>
      </c>
      <c r="G9" s="4" t="inlineStr">
        <is>
          <t>Conservative national-level study; lower fNRB → lower ERs</t>
        </is>
      </c>
    </row>
    <row r="10">
      <c r="A10" s="13" t="inlineStr">
        <is>
          <t>EF_CO2,b</t>
        </is>
      </c>
      <c r="B10" s="6" t="inlineStr">
        <is>
          <t>CO₂ emission factor — baseline fuel</t>
        </is>
      </c>
      <c r="C10" s="14" t="n">
        <v>112</v>
      </c>
      <c r="D10" s="6" t="inlineStr">
        <is>
          <t>tCO2/TJ</t>
        </is>
      </c>
      <c r="E10" s="6" t="inlineStr">
        <is>
          <t>IPCC 2006, Vol. 2, Annex 2, Table A2.1</t>
        </is>
      </c>
      <c r="F10" s="15" t="inlineStr">
        <is>
          <t>1</t>
        </is>
      </c>
      <c r="G10" s="6" t="inlineStr">
        <is>
          <t>IPCC default; higher EF → higher baseline → more conservative ERs</t>
        </is>
      </c>
    </row>
    <row r="11">
      <c r="A11" s="10" t="inlineStr">
        <is>
          <t>EF_nonCO2,b</t>
        </is>
      </c>
      <c r="B11" s="4" t="inlineStr">
        <is>
          <t>Non-CO₂ emission factor — baseline fuel</t>
        </is>
      </c>
      <c r="C11" s="11" t="n">
        <v>9.460000000000001</v>
      </c>
      <c r="D11" s="4" t="inlineStr">
        <is>
          <t>tCO2e/TJ</t>
        </is>
      </c>
      <c r="E11" s="4" t="inlineStr">
        <is>
          <t>TPDDTEC v4.0, Table 5 (AR5 GWP)</t>
        </is>
      </c>
      <c r="F11" s="12" t="inlineStr">
        <is>
          <t>1</t>
        </is>
      </c>
      <c r="G11" s="4" t="inlineStr">
        <is>
          <t>Methodology default</t>
        </is>
      </c>
    </row>
    <row r="12">
      <c r="A12" s="13" t="inlineStr">
        <is>
          <t>NCV_p</t>
        </is>
      </c>
      <c r="B12" s="6" t="inlineStr">
        <is>
          <t>Net calorific value — project fuel</t>
        </is>
      </c>
      <c r="C12" s="14" t="n">
        <v>15.6</v>
      </c>
      <c r="D12" s="6" t="inlineStr">
        <is>
          <t>TJ/Gg</t>
        </is>
      </c>
      <c r="E12" s="6" t="inlineStr">
        <is>
          <t>IPCC 2006, Vol. 2, Ch. 1, Table 1.2</t>
        </is>
      </c>
      <c r="F12" s="15" t="inlineStr">
        <is>
          <t>1</t>
        </is>
      </c>
      <c r="G12" s="6" t="inlineStr">
        <is>
          <t>IPCC default</t>
        </is>
      </c>
    </row>
    <row r="13">
      <c r="A13" s="10" t="inlineStr">
        <is>
          <t>EF_CO2,p</t>
        </is>
      </c>
      <c r="B13" s="4" t="inlineStr">
        <is>
          <t>CO₂ emission factor — project fuel</t>
        </is>
      </c>
      <c r="C13" s="11" t="n">
        <v>112</v>
      </c>
      <c r="D13" s="4" t="inlineStr">
        <is>
          <t>tCO2/TJ</t>
        </is>
      </c>
      <c r="E13" s="4" t="inlineStr">
        <is>
          <t>IPCC 2006, Vol. 2, Annex 2, Table A2.1</t>
        </is>
      </c>
      <c r="F13" s="12" t="inlineStr">
        <is>
          <t>1</t>
        </is>
      </c>
      <c r="G13" s="4" t="inlineStr">
        <is>
          <t>IPCC default</t>
        </is>
      </c>
    </row>
    <row r="14">
      <c r="A14" s="13" t="inlineStr">
        <is>
          <t>EF_nonCO2,p</t>
        </is>
      </c>
      <c r="B14" s="6" t="inlineStr">
        <is>
          <t>Non-CO₂ emission factor — project fuel</t>
        </is>
      </c>
      <c r="C14" s="14" t="n">
        <v>9.460000000000001</v>
      </c>
      <c r="D14" s="6" t="inlineStr">
        <is>
          <t>tCO2e/TJ</t>
        </is>
      </c>
      <c r="E14" s="6" t="inlineStr">
        <is>
          <t>TPDDTEC v4.0, Table 5 (AR5 GWP)</t>
        </is>
      </c>
      <c r="F14" s="15" t="inlineStr">
        <is>
          <t>1</t>
        </is>
      </c>
      <c r="G14" s="6" t="inlineStr">
        <is>
          <t>Methodology default</t>
        </is>
      </c>
    </row>
    <row r="15">
      <c r="A15" s="10" t="inlineStr">
        <is>
          <t>num_households</t>
        </is>
      </c>
      <c r="B15" s="4" t="inlineStr">
        <is>
          <t>num_households</t>
        </is>
      </c>
      <c r="C15" s="11" t="n">
        <v>100000</v>
      </c>
      <c r="D15" s="4" t="inlineStr">
        <is>
          <t>count</t>
        </is>
      </c>
      <c r="E15" s="4" t="inlineStr">
        <is>
          <t>See methodology</t>
        </is>
      </c>
      <c r="F15" s="12" t="inlineStr">
        <is>
          <t>2</t>
        </is>
      </c>
      <c r="G15" s="4" t="inlineStr"/>
    </row>
    <row r="16">
      <c r="A16" s="13" t="inlineStr">
        <is>
          <t>Leakage_adj</t>
        </is>
      </c>
      <c r="B16" s="6" t="inlineStr">
        <is>
          <t>Leakage deduction fraction</t>
        </is>
      </c>
      <c r="C16" s="14" t="n">
        <v>0.05000000000000004</v>
      </c>
      <c r="D16" s="6" t="inlineStr">
        <is>
          <t>fraction</t>
        </is>
      </c>
      <c r="E16" s="6" t="inlineStr">
        <is>
          <t>TPDDTEC v4.0, §5.4</t>
        </is>
      </c>
      <c r="F16" s="15" t="inlineStr">
        <is>
          <t>1</t>
        </is>
      </c>
      <c r="G16" s="6" t="inlineStr">
        <is>
          <t>Methodology-prescribed deduction</t>
        </is>
      </c>
    </row>
    <row r="17">
      <c r="A17" s="10" t="inlineStr">
        <is>
          <t>tech_lifetime_years</t>
        </is>
      </c>
      <c r="B17" s="4" t="inlineStr">
        <is>
          <t>Technology operational lifetime</t>
        </is>
      </c>
      <c r="C17" s="11" t="n">
        <v>5</v>
      </c>
      <c r="D17" s="4" t="inlineStr">
        <is>
          <t>years</t>
        </is>
      </c>
      <c r="E17" s="4" t="inlineStr">
        <is>
          <t>See methodology</t>
        </is>
      </c>
      <c r="F17" s="12" t="inlineStr">
        <is>
          <t>2</t>
        </is>
      </c>
      <c r="G17" s="4" t="inlineStr"/>
    </row>
    <row r="18">
      <c r="A18" s="13" t="inlineStr">
        <is>
          <t>annual_dropoff_rate</t>
        </is>
      </c>
      <c r="B18" s="6" t="inlineStr">
        <is>
          <t>Annual technology drop-off rate</t>
        </is>
      </c>
      <c r="C18" s="14" t="n">
        <v>0.1</v>
      </c>
      <c r="D18" s="6" t="inlineStr">
        <is>
          <t>fraction</t>
        </is>
      </c>
      <c r="E18" s="6" t="inlineStr">
        <is>
          <t>See methodology</t>
        </is>
      </c>
      <c r="F18" s="15" t="inlineStr">
        <is>
          <t>2</t>
        </is>
      </c>
      <c r="G18" s="6" t="inlineStr"/>
    </row>
    <row r="19">
      <c r="A19" s="10" t="inlineStr">
        <is>
          <t>pop_stoves,y</t>
        </is>
      </c>
      <c r="B19" s="4" t="inlineStr">
        <is>
          <t>Device usage / activity rate (year 1)</t>
        </is>
      </c>
      <c r="C19" s="11" t="n">
        <v>0.9</v>
      </c>
      <c r="D19" s="4" t="inlineStr">
        <is>
          <t>fraction</t>
        </is>
      </c>
      <c r="E19" s="4" t="inlineStr">
        <is>
          <t>End-user survey (Tier 2 default if no survey)</t>
        </is>
      </c>
      <c r="F19" s="12" t="inlineStr">
        <is>
          <t>2</t>
        </is>
      </c>
      <c r="G19" s="4" t="inlineStr">
        <is>
          <t>Conservative lower-bound survey result</t>
        </is>
      </c>
    </row>
    <row r="20">
      <c r="A20" s="13" t="inlineStr">
        <is>
          <t>devices_per_household</t>
        </is>
      </c>
      <c r="B20" s="6" t="inlineStr">
        <is>
          <t>devices_per_household</t>
        </is>
      </c>
      <c r="C20" s="14" t="n">
        <v>1</v>
      </c>
      <c r="D20" s="6" t="inlineStr">
        <is>
          <t>count</t>
        </is>
      </c>
      <c r="E20" s="6" t="inlineStr">
        <is>
          <t>See methodology</t>
        </is>
      </c>
      <c r="F20" s="15" t="inlineStr">
        <is>
          <t>2</t>
        </is>
      </c>
      <c r="G20" s="6" t="inlineStr"/>
    </row>
    <row r="21">
      <c r="A21" s="10" t="inlineStr">
        <is>
          <t>Np/HH</t>
        </is>
      </c>
      <c r="B21" s="4" t="inlineStr">
        <is>
          <t>Average household size</t>
        </is>
      </c>
      <c r="C21" s="11" t="n">
        <v>5</v>
      </c>
      <c r="D21" s="4" t="inlineStr">
        <is>
          <t>persons/household</t>
        </is>
      </c>
      <c r="E21" s="4" t="inlineStr">
        <is>
          <t>National census or survey</t>
        </is>
      </c>
      <c r="F21" s="12" t="inlineStr">
        <is>
          <t>2</t>
        </is>
      </c>
      <c r="G21" s="4" t="inlineStr">
        <is>
          <t>National average</t>
        </is>
      </c>
    </row>
    <row r="22">
      <c r="A22" s="13" t="inlineStr">
        <is>
          <t>num_beneficiaries</t>
        </is>
      </c>
      <c r="B22" s="6" t="inlineStr">
        <is>
          <t>num_beneficiaries</t>
        </is>
      </c>
      <c r="C22" s="14" t="n">
        <v>500000</v>
      </c>
      <c r="D22" s="6" t="inlineStr">
        <is>
          <t>persons</t>
        </is>
      </c>
      <c r="E22" s="6" t="inlineStr">
        <is>
          <t>See methodology</t>
        </is>
      </c>
      <c r="F22" s="15" t="inlineStr">
        <is>
          <t>2</t>
        </is>
      </c>
      <c r="G22" s="6" t="inlineStr"/>
    </row>
    <row r="23">
      <c r="A23" s="10" t="inlineStr">
        <is>
          <t>N_i,y</t>
        </is>
      </c>
      <c r="B23" s="4" t="inlineStr">
        <is>
          <t>Number of active devices</t>
        </is>
      </c>
      <c r="C23" s="11" t="n">
        <v>100000</v>
      </c>
      <c r="D23" s="4" t="inlineStr">
        <is>
          <t>count</t>
        </is>
      </c>
      <c r="E23" s="4" t="inlineStr">
        <is>
          <t>Project device registry / monitoring database</t>
        </is>
      </c>
      <c r="F23" s="12" t="inlineStr">
        <is>
          <t>1</t>
        </is>
      </c>
      <c r="G23" s="4" t="inlineStr">
        <is>
          <t>Verified device count from registry</t>
        </is>
      </c>
    </row>
    <row r="24">
      <c r="A24" s="13" t="inlineStr">
        <is>
          <t>SFC_baseline</t>
        </is>
      </c>
      <c r="B24" s="6" t="inlineStr">
        <is>
          <t>SFC_baseline</t>
        </is>
      </c>
      <c r="C24" s="14" t="n">
        <v>1.37</v>
      </c>
      <c r="D24" s="6" t="inlineStr">
        <is>
          <t>kg/device/day</t>
        </is>
      </c>
      <c r="E24" s="6" t="inlineStr">
        <is>
          <t>See methodology</t>
        </is>
      </c>
      <c r="F24" s="15" t="inlineStr">
        <is>
          <t>2</t>
        </is>
      </c>
      <c r="G24" s="6" t="inlineStr"/>
    </row>
    <row r="25">
      <c r="A25" s="10" t="inlineStr">
        <is>
          <t>baseline_fuel_consumption</t>
        </is>
      </c>
      <c r="B25" s="4" t="inlineStr">
        <is>
          <t>baseline_fuel_consumption</t>
        </is>
      </c>
      <c r="C25" s="11" t="n">
        <v>0.5</v>
      </c>
      <c r="D25" s="4" t="inlineStr">
        <is>
          <t>t/device/year</t>
        </is>
      </c>
      <c r="E25" s="4" t="inlineStr">
        <is>
          <t>See methodology</t>
        </is>
      </c>
      <c r="F25" s="12" t="inlineStr">
        <is>
          <t>2</t>
        </is>
      </c>
      <c r="G25" s="4" t="inlineStr"/>
    </row>
    <row r="26">
      <c r="A26" s="13" t="inlineStr">
        <is>
          <t>leakage_discount</t>
        </is>
      </c>
      <c r="B26" s="6" t="inlineStr">
        <is>
          <t>leakage_discount</t>
        </is>
      </c>
      <c r="C26" s="14" t="n">
        <v>0.95</v>
      </c>
      <c r="D26" s="6" t="inlineStr">
        <is>
          <t>fraction</t>
        </is>
      </c>
      <c r="E26" s="6" t="inlineStr">
        <is>
          <t>See methodology</t>
        </is>
      </c>
      <c r="F26" s="15" t="inlineStr">
        <is>
          <t>2</t>
        </is>
      </c>
      <c r="G26" s="6" t="inlineStr"/>
    </row>
    <row r="27">
      <c r="A27" s="10" t="inlineStr">
        <is>
          <t>UR_decay</t>
        </is>
      </c>
      <c r="B27" s="4" t="inlineStr">
        <is>
          <t>Annual usage-rate decay (fraction/yr)</t>
        </is>
      </c>
      <c r="C27" s="11" t="n">
        <v>0.02</v>
      </c>
      <c r="D27" s="4" t="inlineStr">
        <is>
          <t>fraction/year</t>
        </is>
      </c>
      <c r="E27" s="4" t="inlineStr">
        <is>
          <t>Project monitoring plan / methodology default</t>
        </is>
      </c>
      <c r="F27" s="12" t="inlineStr">
        <is>
          <t>2</t>
        </is>
      </c>
      <c r="G27" s="4" t="inlineStr">
        <is>
          <t>Conservative annual drop-off assumption</t>
        </is>
      </c>
    </row>
    <row r="28">
      <c r="A28" s="13" t="inlineStr">
        <is>
          <t>UR_floor</t>
        </is>
      </c>
      <c r="B28" s="6" t="inlineStr">
        <is>
          <t>Minimum usage-rate floor</t>
        </is>
      </c>
      <c r="C28" s="14" t="n">
        <v>0.5</v>
      </c>
      <c r="D28" s="6" t="inlineStr">
        <is>
          <t>fraction</t>
        </is>
      </c>
      <c r="E28" s="6" t="inlineStr">
        <is>
          <t>Project monitoring plan / methodology default</t>
        </is>
      </c>
      <c r="F28" s="15" t="inlineStr">
        <is>
          <t>2</t>
        </is>
      </c>
      <c r="G28" s="6" t="inlineStr">
        <is>
          <t>Conservative minimum device-retention assumption</t>
        </is>
      </c>
    </row>
    <row r="29">
      <c r="A29" s="10" t="inlineStr">
        <is>
          <t>SFC_project</t>
        </is>
      </c>
      <c r="B29" s="4" t="inlineStr">
        <is>
          <t>SFC_project</t>
        </is>
      </c>
      <c r="C29" s="11" t="n">
        <v>0.87</v>
      </c>
      <c r="D29" s="4" t="inlineStr">
        <is>
          <t>kg/device/day</t>
        </is>
      </c>
      <c r="E29" s="4" t="inlineStr">
        <is>
          <t>See methodology</t>
        </is>
      </c>
      <c r="F29" s="12" t="inlineStr">
        <is>
          <t>2</t>
        </is>
      </c>
      <c r="G29" s="4" t="inlineStr"/>
    </row>
    <row r="30">
      <c r="A30" s="13" t="inlineStr">
        <is>
          <t>project_fuel_consumption</t>
        </is>
      </c>
      <c r="B30" s="6" t="inlineStr">
        <is>
          <t>project_fuel_consumption</t>
        </is>
      </c>
      <c r="C30" s="14" t="n">
        <v>0.3175</v>
      </c>
      <c r="D30" s="6" t="inlineStr">
        <is>
          <t>t/device/year</t>
        </is>
      </c>
      <c r="E30" s="6" t="inlineStr">
        <is>
          <t>See methodology</t>
        </is>
      </c>
      <c r="F30" s="15" t="inlineStr">
        <is>
          <t>2</t>
        </is>
      </c>
      <c r="G30" s="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6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STEP-BY-STEP ER CALCULATION (EX-ANTE)</t>
        </is>
      </c>
    </row>
    <row r="2">
      <c r="A2" s="8" t="inlineStr">
        <is>
          <t>Methodology: TPDDTEC | Baseline fuel:  | Project fuel:  | Method: 1/2 (same fuel)</t>
        </is>
      </c>
    </row>
    <row r="3">
      <c r="A3" s="16" t="inlineStr">
        <is>
          <t>Result cells (col D) contain Excel formulas referencing the Parameters tab — every value is traceable. Formula text in col C shows the methodology equation for audit verification.</t>
        </is>
      </c>
    </row>
    <row r="5">
      <c r="A5" s="9" t="inlineStr">
        <is>
          <t>Step</t>
        </is>
      </c>
      <c r="B5" s="9" t="inlineStr">
        <is>
          <t>Description</t>
        </is>
      </c>
      <c r="C5" s="9" t="inlineStr">
        <is>
          <t>Methodology equation (audit reference)</t>
        </is>
      </c>
      <c r="D5" s="9" t="inlineStr">
        <is>
          <t>Result (formula)</t>
        </is>
      </c>
      <c r="E5" s="9" t="inlineStr">
        <is>
          <t>Unit</t>
        </is>
      </c>
    </row>
    <row r="6">
      <c r="A6" s="17" t="n">
        <v>1</v>
      </c>
      <c r="B6" s="13" t="inlineStr">
        <is>
          <t>Baseline fuel consumption per device</t>
        </is>
      </c>
      <c r="C6" s="18" t="inlineStr">
        <is>
          <t>baseline_fuel_consumption = 2.500000 t/device/yr</t>
        </is>
      </c>
      <c r="D6" s="19">
        <f>Parameters!C5</f>
        <v/>
      </c>
      <c r="E6" s="6" t="inlineStr">
        <is>
          <t>t/device/yr</t>
        </is>
      </c>
    </row>
    <row r="7">
      <c r="A7" s="20" t="n">
        <v>2</v>
      </c>
      <c r="B7" s="10" t="inlineStr">
        <is>
          <t>Project fuel consumption per device</t>
        </is>
      </c>
      <c r="C7" s="21" t="inlineStr">
        <is>
          <t>project_fuel_consumption = 0.317500 t/device/yr</t>
        </is>
      </c>
      <c r="D7" s="22">
        <f>Parameters!C6</f>
        <v/>
      </c>
      <c r="E7" s="4" t="inlineStr">
        <is>
          <t>t/device/yr</t>
        </is>
      </c>
    </row>
    <row r="8">
      <c r="A8" s="17" t="n">
        <v>3</v>
      </c>
      <c r="B8" s="13" t="inlineStr">
        <is>
          <t>CF-adjusted baseline wood-equivalent consumption</t>
        </is>
      </c>
      <c r="C8" s="18" t="inlineStr">
        <is>
          <t>SFC_b (wood, CF=1): 2.500000</t>
        </is>
      </c>
      <c r="D8" s="19">
        <f>Parameters!C5</f>
        <v/>
      </c>
      <c r="E8" s="6" t="inlineStr">
        <is>
          <t>t wood-equiv/device/yr</t>
        </is>
      </c>
    </row>
    <row r="9">
      <c r="A9" s="20" t="n">
        <v>4</v>
      </c>
      <c r="B9" s="10" t="inlineStr">
        <is>
          <t>Baseline energy consumption</t>
        </is>
      </c>
      <c r="C9" s="21" t="inlineStr">
        <is>
          <t>EC_b = SFC_b,we × NCV_b / 1000 = 2.500000 × 15.6 / 1000</t>
        </is>
      </c>
      <c r="D9" s="22">
        <f>D8*Parameters!C8/1000</f>
        <v/>
      </c>
      <c r="E9" s="4" t="inlineStr">
        <is>
          <t>TJ/device/yr</t>
        </is>
      </c>
    </row>
    <row r="10">
      <c r="A10" s="17" t="n">
        <v>5</v>
      </c>
      <c r="B10" s="13" t="inlineStr">
        <is>
          <t>Baseline emissions per device</t>
        </is>
      </c>
      <c r="C10" s="18" t="inlineStr">
        <is>
          <t>BE/device = EC_b × (fNRB × EF_CO2_b + EF_nonCO2_b) = 0.039000 × (0.36 × 112.0 + 9.46)</t>
        </is>
      </c>
      <c r="D10" s="19">
        <f>D9*(Parameters!C9*Parameters!C10+Parameters!C11)</f>
        <v/>
      </c>
      <c r="E10" s="6" t="inlineStr">
        <is>
          <t>tCO2e/device/yr</t>
        </is>
      </c>
    </row>
    <row r="11">
      <c r="A11" s="20" t="n">
        <v>6</v>
      </c>
      <c r="B11" s="10" t="inlineStr">
        <is>
          <t>Project energy consumption</t>
        </is>
      </c>
      <c r="C11" s="21" t="inlineStr">
        <is>
          <t>EC_p = SFC_p × NCV_p / 1000 = 0.317500 × 15.6 / 1000</t>
        </is>
      </c>
      <c r="D11" s="22">
        <f>D7*Parameters!C12/1000</f>
        <v/>
      </c>
      <c r="E11" s="4" t="inlineStr">
        <is>
          <t>TJ/device/yr</t>
        </is>
      </c>
    </row>
    <row r="12">
      <c r="A12" s="17" t="n">
        <v>7</v>
      </c>
      <c r="B12" s="13" t="inlineStr">
        <is>
          <t>Project emissions per device</t>
        </is>
      </c>
      <c r="C12" s="18" t="inlineStr">
        <is>
          <t>EC_p × (fNRB × EF_CO2_p + EF_nonCO2_p) = 0.004953 × (0.36 × 112.0 + 9.46)</t>
        </is>
      </c>
      <c r="D12" s="19">
        <f>D11*(Parameters!C9*Parameters!C13+Parameters!C14)</f>
        <v/>
      </c>
      <c r="E12" s="6" t="inlineStr">
        <is>
          <t>tCO2e/device/yr</t>
        </is>
      </c>
    </row>
    <row r="13">
      <c r="A13" s="20" t="n">
        <v>8</v>
      </c>
      <c r="B13" s="10" t="inlineStr">
        <is>
          <t>ER per device per year (before leakage)</t>
        </is>
      </c>
      <c r="C13" s="21" t="inlineStr">
        <is>
          <t>ER/device = BE/device − PE/device = 1.941420 − 0.246560</t>
        </is>
      </c>
      <c r="D13" s="22">
        <f>D10-D12</f>
        <v/>
      </c>
      <c r="E13" s="4" t="inlineStr">
        <is>
          <t>tCO2e/device/yr</t>
        </is>
      </c>
    </row>
    <row r="14">
      <c r="A14" s="17" t="n">
        <v>9</v>
      </c>
      <c r="B14" s="13" t="inlineStr">
        <is>
          <t>Deployment mode</t>
        </is>
      </c>
      <c r="C14" s="18" t="inlineStr">
        <is>
          <t>fixed_monthly</t>
        </is>
      </c>
      <c r="D14" s="23" t="inlineStr">
        <is>
          <t>fixed_monthly</t>
        </is>
      </c>
      <c r="E14" s="6" t="inlineStr"/>
    </row>
    <row r="15">
      <c r="A15" s="20" t="n">
        <v>10</v>
      </c>
      <c r="B15" s="10" t="inlineStr">
        <is>
          <t>Total units to deploy</t>
        </is>
      </c>
      <c r="C15" s="21" t="inlineStr">
        <is>
          <t>num_households = 100000</t>
        </is>
      </c>
      <c r="D15" s="24" t="n">
        <v>100000</v>
      </c>
      <c r="E15" s="4" t="inlineStr">
        <is>
          <t>units</t>
        </is>
      </c>
    </row>
    <row r="16">
      <c r="A16" s="17" t="n">
        <v>11</v>
      </c>
      <c r="B16" s="13" t="inlineStr">
        <is>
          <t>Technology lifetime</t>
        </is>
      </c>
      <c r="C16" s="18" t="inlineStr">
        <is>
          <t>5.0 years</t>
        </is>
      </c>
      <c r="D16" s="14" t="n">
        <v>5</v>
      </c>
      <c r="E16" s="6" t="inlineStr">
        <is>
          <t>years</t>
        </is>
      </c>
    </row>
    <row r="17">
      <c r="A17" s="20" t="n">
        <v>12</v>
      </c>
      <c r="B17" s="10" t="inlineStr">
        <is>
          <t>Drop-off model</t>
        </is>
      </c>
      <c r="C17" s="21" t="inlineStr">
        <is>
          <t>annual_rate: 10.0%/yr</t>
        </is>
      </c>
      <c r="D17" s="11" t="n">
        <v>0.1</v>
      </c>
      <c r="E17" s="4" t="inlineStr"/>
    </row>
    <row r="18">
      <c r="A18" s="17" t="n">
        <v>13</v>
      </c>
      <c r="B18" s="13" t="inlineStr">
        <is>
          <t>Usage rate</t>
        </is>
      </c>
      <c r="C18" s="18" t="inlineStr">
        <is>
          <t>fixed: 90%</t>
        </is>
      </c>
      <c r="D18" s="14" t="n">
        <v>0.9</v>
      </c>
      <c r="E18" s="6" t="inlineStr"/>
    </row>
    <row r="20">
      <c r="A20" s="5" t="inlineStr">
        <is>
          <t>ANNUAL ER SUMMARY — ALL CREDITING YEARS</t>
        </is>
      </c>
    </row>
    <row r="21">
      <c r="A21" s="16" t="inlineStr">
        <is>
          <t>Active devices, Baseline, Project, and Leakage columns are live Excel formulas referencing Parameters tab and the step results above — all values update if parameters change.</t>
        </is>
      </c>
    </row>
    <row r="22">
      <c r="A22" s="25" t="inlineStr">
        <is>
          <t>Year</t>
        </is>
      </c>
      <c r="B22" s="25" t="inlineStr">
        <is>
          <t>Calendar year</t>
        </is>
      </c>
      <c r="C22" s="25" t="inlineStr">
        <is>
          <t>Active devices
=MAX(UR-(Y-1)×decay,floor)×N</t>
        </is>
      </c>
      <c r="D22" s="25" t="inlineStr">
        <is>
          <t>Baseline (tCO2e)
=BE/dev × devices</t>
        </is>
      </c>
      <c r="E22" s="25" t="inlineStr">
        <is>
          <t>Project (tCO2e)
=PE/dev × devices</t>
        </is>
      </c>
      <c r="F22" s="25" t="inlineStr">
        <is>
          <t>Gross ER (tCO2e)
=Baseline−Project</t>
        </is>
      </c>
      <c r="G22" s="25" t="inlineStr">
        <is>
          <t>Leakage (tCO2e)
=Gross ER × L%</t>
        </is>
      </c>
      <c r="H22" s="25" t="inlineStr">
        <is>
          <t>Net ER (tCO2e)
=Gross ER−Leakage</t>
        </is>
      </c>
    </row>
    <row r="23">
      <c r="A23" s="12" t="n">
        <v>1</v>
      </c>
      <c r="B23" s="12" t="n">
        <v>2025</v>
      </c>
      <c r="C23" s="26">
        <f>MAX(Parameters!C19-0*Parameters!C27,Parameters!C28)*Parameters!C23</f>
        <v/>
      </c>
      <c r="D23" s="27">
        <f>D10*C23</f>
        <v/>
      </c>
      <c r="E23" s="27">
        <f>D12*C23</f>
        <v/>
      </c>
      <c r="F23" s="27">
        <f>D23-E23</f>
        <v/>
      </c>
      <c r="G23" s="27">
        <f>F23*Parameters!C16</f>
        <v/>
      </c>
      <c r="H23" s="27">
        <f>F23-G23</f>
        <v/>
      </c>
    </row>
    <row r="24">
      <c r="A24" s="15" t="n">
        <v>2</v>
      </c>
      <c r="B24" s="15" t="n">
        <v>2026</v>
      </c>
      <c r="C24" s="28">
        <f>MAX(Parameters!C19-1*Parameters!C27,Parameters!C28)*Parameters!C23</f>
        <v/>
      </c>
      <c r="D24" s="29">
        <f>D10*C24</f>
        <v/>
      </c>
      <c r="E24" s="29">
        <f>D12*C24</f>
        <v/>
      </c>
      <c r="F24" s="29">
        <f>D24-E24</f>
        <v/>
      </c>
      <c r="G24" s="29">
        <f>F24*Parameters!C16</f>
        <v/>
      </c>
      <c r="H24" s="29">
        <f>F24-G24</f>
        <v/>
      </c>
    </row>
    <row r="25">
      <c r="A25" s="12" t="n">
        <v>3</v>
      </c>
      <c r="B25" s="12" t="n">
        <v>2027</v>
      </c>
      <c r="C25" s="26">
        <f>MAX(Parameters!C19-2*Parameters!C27,Parameters!C28)*Parameters!C23</f>
        <v/>
      </c>
      <c r="D25" s="27">
        <f>D10*C25</f>
        <v/>
      </c>
      <c r="E25" s="27">
        <f>D12*C25</f>
        <v/>
      </c>
      <c r="F25" s="27">
        <f>D25-E25</f>
        <v/>
      </c>
      <c r="G25" s="27">
        <f>F25*Parameters!C16</f>
        <v/>
      </c>
      <c r="H25" s="27">
        <f>F25-G25</f>
        <v/>
      </c>
    </row>
    <row r="26">
      <c r="A26" s="15" t="n">
        <v>4</v>
      </c>
      <c r="B26" s="15" t="n">
        <v>2028</v>
      </c>
      <c r="C26" s="28">
        <f>MAX(Parameters!C19-3*Parameters!C27,Parameters!C28)*Parameters!C23</f>
        <v/>
      </c>
      <c r="D26" s="29">
        <f>D10*C26</f>
        <v/>
      </c>
      <c r="E26" s="29">
        <f>D12*C26</f>
        <v/>
      </c>
      <c r="F26" s="29">
        <f>D26-E26</f>
        <v/>
      </c>
      <c r="G26" s="29">
        <f>F26*Parameters!C16</f>
        <v/>
      </c>
      <c r="H26" s="29">
        <f>F26-G26</f>
        <v/>
      </c>
    </row>
    <row r="27">
      <c r="A27" s="12" t="n">
        <v>5</v>
      </c>
      <c r="B27" s="12" t="n">
        <v>2029</v>
      </c>
      <c r="C27" s="26">
        <f>MAX(Parameters!C19-4*Parameters!C27,Parameters!C28)*Parameters!C23</f>
        <v/>
      </c>
      <c r="D27" s="27">
        <f>D10*C27</f>
        <v/>
      </c>
      <c r="E27" s="27">
        <f>D12*C27</f>
        <v/>
      </c>
      <c r="F27" s="27">
        <f>D27-E27</f>
        <v/>
      </c>
      <c r="G27" s="27">
        <f>F27*Parameters!C16</f>
        <v/>
      </c>
      <c r="H27" s="27">
        <f>F27-G27</f>
        <v/>
      </c>
    </row>
    <row r="28">
      <c r="A28" s="15" t="n">
        <v>6</v>
      </c>
      <c r="B28" s="15" t="n">
        <v>2030</v>
      </c>
      <c r="C28" s="28">
        <f>MAX(Parameters!C19-5*Parameters!C27,Parameters!C28)*Parameters!C23</f>
        <v/>
      </c>
      <c r="D28" s="29">
        <f>D10*C28</f>
        <v/>
      </c>
      <c r="E28" s="29">
        <f>D12*C28</f>
        <v/>
      </c>
      <c r="F28" s="29">
        <f>D28-E28</f>
        <v/>
      </c>
      <c r="G28" s="29">
        <f>F28*Parameters!C16</f>
        <v/>
      </c>
      <c r="H28" s="29">
        <f>F28-G28</f>
        <v/>
      </c>
    </row>
    <row r="29">
      <c r="A29" s="12" t="n">
        <v>7</v>
      </c>
      <c r="B29" s="12" t="n">
        <v>2031</v>
      </c>
      <c r="C29" s="26">
        <f>MAX(Parameters!C19-6*Parameters!C27,Parameters!C28)*Parameters!C23</f>
        <v/>
      </c>
      <c r="D29" s="27">
        <f>D10*C29</f>
        <v/>
      </c>
      <c r="E29" s="27">
        <f>D12*C29</f>
        <v/>
      </c>
      <c r="F29" s="27">
        <f>D29-E29</f>
        <v/>
      </c>
      <c r="G29" s="27">
        <f>F29*Parameters!C16</f>
        <v/>
      </c>
      <c r="H29" s="27">
        <f>F29-G29</f>
        <v/>
      </c>
    </row>
    <row r="30">
      <c r="A30" s="10" t="inlineStr">
        <is>
          <t>TOTAL</t>
        </is>
      </c>
      <c r="B30" s="4" t="inlineStr"/>
      <c r="C30" s="30">
        <f>SUM(C23:C29)</f>
        <v/>
      </c>
      <c r="D30" s="30">
        <f>SUM(D23:D29)</f>
        <v/>
      </c>
      <c r="E30" s="30">
        <f>SUM(E23:E29)</f>
        <v/>
      </c>
      <c r="F30" s="30">
        <f>SUM(F23:F29)</f>
        <v/>
      </c>
      <c r="G30" s="30">
        <f>SUM(G23:G29)</f>
        <v/>
      </c>
      <c r="H30" s="30">
        <f>SUM(H23:H29)</f>
        <v/>
      </c>
    </row>
  </sheetData>
  <mergeCells count="5">
    <mergeCell ref="A3:H3"/>
    <mergeCell ref="A21:H21"/>
    <mergeCell ref="A20:H20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22" customWidth="1" min="5" max="5"/>
  </cols>
  <sheetData>
    <row r="1">
      <c r="A1" s="7" t="inlineStr">
        <is>
          <t>VINTAGE TABLE — ER ALLOCATION BY CALENDAR YEAR</t>
        </is>
      </c>
    </row>
    <row r="2">
      <c r="A2" s="8" t="inlineStr">
        <is>
          <t>Each crediting year covers a full calendar year. ERs are assigned to the corresponding vintage.</t>
        </is>
      </c>
    </row>
    <row r="4">
      <c r="A4" s="9" t="inlineStr">
        <is>
          <t>Vintage year</t>
        </is>
      </c>
      <c r="B4" s="9" t="inlineStr">
        <is>
          <t>CP year</t>
        </is>
      </c>
      <c r="C4" s="9" t="inlineStr">
        <is>
          <t>Baseline (tCO2e)</t>
        </is>
      </c>
      <c r="D4" s="9" t="inlineStr">
        <is>
          <t>Project (tCO2e)</t>
        </is>
      </c>
      <c r="E4" s="9" t="inlineStr">
        <is>
          <t>Net ER (tCO2e)</t>
        </is>
      </c>
    </row>
    <row r="5">
      <c r="A5" s="20" t="n">
        <v>2025</v>
      </c>
      <c r="B5" s="12" t="inlineStr">
        <is>
          <t>CP1</t>
        </is>
      </c>
      <c r="C5" s="27">
        <f>'ER Calculation'!D23</f>
        <v/>
      </c>
      <c r="D5" s="27">
        <f>'ER Calculation'!E23</f>
        <v/>
      </c>
      <c r="E5" s="27">
        <f>'ER Calculation'!H23</f>
        <v/>
      </c>
    </row>
    <row r="6">
      <c r="A6" s="17" t="n">
        <v>2026</v>
      </c>
      <c r="B6" s="15" t="inlineStr">
        <is>
          <t>CP2</t>
        </is>
      </c>
      <c r="C6" s="29">
        <f>'ER Calculation'!D24</f>
        <v/>
      </c>
      <c r="D6" s="29">
        <f>'ER Calculation'!E24</f>
        <v/>
      </c>
      <c r="E6" s="29">
        <f>'ER Calculation'!H24</f>
        <v/>
      </c>
    </row>
    <row r="7">
      <c r="A7" s="20" t="n">
        <v>2027</v>
      </c>
      <c r="B7" s="12" t="inlineStr">
        <is>
          <t>CP3</t>
        </is>
      </c>
      <c r="C7" s="27">
        <f>'ER Calculation'!D25</f>
        <v/>
      </c>
      <c r="D7" s="27">
        <f>'ER Calculation'!E25</f>
        <v/>
      </c>
      <c r="E7" s="27">
        <f>'ER Calculation'!H25</f>
        <v/>
      </c>
    </row>
    <row r="8">
      <c r="A8" s="17" t="n">
        <v>2028</v>
      </c>
      <c r="B8" s="15" t="inlineStr">
        <is>
          <t>CP4</t>
        </is>
      </c>
      <c r="C8" s="29">
        <f>'ER Calculation'!D26</f>
        <v/>
      </c>
      <c r="D8" s="29">
        <f>'ER Calculation'!E26</f>
        <v/>
      </c>
      <c r="E8" s="29">
        <f>'ER Calculation'!H26</f>
        <v/>
      </c>
    </row>
    <row r="9">
      <c r="A9" s="20" t="n">
        <v>2029</v>
      </c>
      <c r="B9" s="12" t="inlineStr">
        <is>
          <t>CP5</t>
        </is>
      </c>
      <c r="C9" s="27">
        <f>'ER Calculation'!D27</f>
        <v/>
      </c>
      <c r="D9" s="27">
        <f>'ER Calculation'!E27</f>
        <v/>
      </c>
      <c r="E9" s="27">
        <f>'ER Calculation'!H27</f>
        <v/>
      </c>
    </row>
    <row r="10">
      <c r="A10" s="17" t="n">
        <v>2030</v>
      </c>
      <c r="B10" s="15" t="inlineStr">
        <is>
          <t>CP6</t>
        </is>
      </c>
      <c r="C10" s="29">
        <f>'ER Calculation'!D28</f>
        <v/>
      </c>
      <c r="D10" s="29">
        <f>'ER Calculation'!E28</f>
        <v/>
      </c>
      <c r="E10" s="29">
        <f>'ER Calculation'!H28</f>
        <v/>
      </c>
    </row>
    <row r="11">
      <c r="A11" s="20" t="n">
        <v>2031</v>
      </c>
      <c r="B11" s="12" t="inlineStr">
        <is>
          <t>CP7</t>
        </is>
      </c>
      <c r="C11" s="27">
        <f>'ER Calculation'!D29</f>
        <v/>
      </c>
      <c r="D11" s="27">
        <f>'ER Calculation'!E29</f>
        <v/>
      </c>
      <c r="E11" s="27">
        <f>'ER Calculation'!H29</f>
        <v/>
      </c>
    </row>
    <row r="12">
      <c r="A12" s="10" t="inlineStr">
        <is>
          <t>TOTAL</t>
        </is>
      </c>
      <c r="B12" s="4" t="inlineStr"/>
      <c r="C12" s="30">
        <f>SUM(C5:C11)</f>
        <v/>
      </c>
      <c r="D12" s="30">
        <f>SUM(D5:D11)</f>
        <v/>
      </c>
      <c r="E12" s="30">
        <f>SUM(E5:E11)</f>
        <v/>
      </c>
    </row>
    <row r="14">
      <c r="A14" s="31" t="inlineStr">
        <is>
          <t>Summary</t>
        </is>
      </c>
    </row>
    <row r="15">
      <c r="A15" s="10" t="inlineStr">
        <is>
          <t>Total baseline emissions (tCO2e)</t>
        </is>
      </c>
      <c r="B15" s="32" t="n">
        <v>612652.26</v>
      </c>
    </row>
    <row r="16">
      <c r="A16" s="10" t="inlineStr">
        <is>
          <t>Total project emissions (tCO2e)</t>
        </is>
      </c>
      <c r="B16" s="32" t="n">
        <v>77806.84</v>
      </c>
    </row>
    <row r="17">
      <c r="A17" s="10" t="inlineStr">
        <is>
          <t>Total leakage (tCO2e)</t>
        </is>
      </c>
      <c r="B17" s="32" t="n">
        <v>26742.27</v>
      </c>
    </row>
    <row r="18">
      <c r="A18" s="10" t="inlineStr">
        <is>
          <t>Total net ERs (tCO2e)</t>
        </is>
      </c>
      <c r="B18" s="32" t="n">
        <v>508103.15</v>
      </c>
    </row>
    <row r="19">
      <c r="A19" s="10" t="inlineStr">
        <is>
          <t>Average annual net ERs (tCO2e/yr)</t>
        </is>
      </c>
      <c r="B19" s="32" t="n">
        <v>72586.16</v>
      </c>
    </row>
    <row r="20">
      <c r="A20" s="10" t="inlineStr">
        <is>
          <t>Crediting period (years)</t>
        </is>
      </c>
      <c r="B20" s="32" t="n">
        <v>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7" t="inlineStr">
        <is>
          <t>SENSITIVITY ANALYSIS</t>
        </is>
      </c>
    </row>
    <row r="2">
      <c r="A2" s="8" t="inlineStr">
        <is>
          <t>Impact of ±10% variation in key parameters on total net ERs over the crediting period.</t>
        </is>
      </c>
    </row>
    <row r="4">
      <c r="A4" s="9" t="inlineStr">
        <is>
          <t>Parameter varied</t>
        </is>
      </c>
      <c r="B4" s="9" t="inlineStr">
        <is>
          <t>Variation</t>
        </is>
      </c>
      <c r="C4" s="9" t="inlineStr">
        <is>
          <t>Low estimate (tCO2e)</t>
        </is>
      </c>
      <c r="D4" s="9" t="inlineStr">
        <is>
          <t>Central (tCO2e)</t>
        </is>
      </c>
      <c r="E4" s="9" t="inlineStr">
        <is>
          <t>High estimate (tCO2e)</t>
        </is>
      </c>
    </row>
    <row r="5">
      <c r="A5" s="4" t="inlineStr">
        <is>
          <t>fNRB (Fraction non-renewable biomass)</t>
        </is>
      </c>
      <c r="B5" s="12" t="inlineStr">
        <is>
          <t>±10%</t>
        </is>
      </c>
      <c r="C5" s="32" t="n">
        <v>472535.9295</v>
      </c>
      <c r="D5" s="33" t="n">
        <v>508103.15</v>
      </c>
      <c r="E5" s="32" t="n">
        <v>543670.3705000001</v>
      </c>
    </row>
    <row r="6">
      <c r="A6" s="6" t="inlineStr">
        <is>
          <t>Baseline fuel consumption (SFC_b)</t>
        </is>
      </c>
      <c r="B6" s="15" t="inlineStr">
        <is>
          <t>±10%</t>
        </is>
      </c>
      <c r="C6" s="34" t="n">
        <v>457292.835</v>
      </c>
      <c r="D6" s="35" t="n">
        <v>508103.15</v>
      </c>
      <c r="E6" s="34" t="n">
        <v>558913.4650000001</v>
      </c>
    </row>
    <row r="7">
      <c r="A7" s="4" t="inlineStr">
        <is>
          <t>Number of active devices (N_i,y)</t>
        </is>
      </c>
      <c r="B7" s="12" t="inlineStr">
        <is>
          <t>±15%</t>
        </is>
      </c>
      <c r="C7" s="32" t="n">
        <v>431887.6775</v>
      </c>
      <c r="D7" s="33" t="n">
        <v>508103.15</v>
      </c>
      <c r="E7" s="32" t="n">
        <v>584318.6224999999</v>
      </c>
    </row>
    <row r="8">
      <c r="A8" s="6" t="inlineStr">
        <is>
          <t>Baseline emission factor (EF_CO2,b)</t>
        </is>
      </c>
      <c r="B8" s="15" t="inlineStr">
        <is>
          <t>±5%</t>
        </is>
      </c>
      <c r="C8" s="34" t="n">
        <v>485238.50825</v>
      </c>
      <c r="D8" s="35" t="n">
        <v>508103.15</v>
      </c>
      <c r="E8" s="34" t="n">
        <v>530967.79175</v>
      </c>
    </row>
    <row r="9">
      <c r="A9" s="4" t="inlineStr">
        <is>
          <t>Device usage / activity rate</t>
        </is>
      </c>
      <c r="B9" s="12" t="inlineStr">
        <is>
          <t>±10%</t>
        </is>
      </c>
      <c r="C9" s="32" t="n">
        <v>457292.835</v>
      </c>
      <c r="D9" s="33" t="n">
        <v>508103.15</v>
      </c>
      <c r="E9" s="32" t="n">
        <v>558913.4650000001</v>
      </c>
    </row>
    <row r="11">
      <c r="A11" s="36" t="inlineStr">
        <is>
          <t>Note: Sensitivity estimates are approximate linear projections. Full re-calculation with revised parameters required for final values.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2026-03-24T17:43:49Z</dcterms:created>
  <dcterms:modified xmlns:dcterms="http://purl.org/dc/terms/" xmlns:xsi="http://www.w3.org/2001/XMLSchema-instance" xsi:type="dcterms:W3CDTF">2026-03-24T17:43:49Z</dcterms:modified>
</cp:coreProperties>
</file>